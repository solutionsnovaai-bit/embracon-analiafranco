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Tel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 &quot;#,##0&quot;.000&quot;"/>
    <numFmt numFmtId="165" formatCode="dd/mm/yyyy"/>
    <numFmt numFmtId="166" formatCode="#,##0&quot;.000&quot;"/>
    <numFmt numFmtId="167" formatCode="0%&quot; da meta&quot;"/>
  </numFmts>
  <fonts count="25">
    <font>
      <name val="Calibri"/>
      <family val="2"/>
      <color theme="1"/>
      <sz val="11"/>
      <scheme val="minor"/>
    </font>
    <font>
      <name val="Montserrat"/>
      <b val="1"/>
      <color rgb="00FFFFFF"/>
      <sz val="22"/>
    </font>
    <font>
      <name val="Montserrat"/>
      <b val="1"/>
      <color rgb="00FFFFFF"/>
      <sz val="13"/>
    </font>
    <font>
      <name val="Montserrat"/>
      <color rgb="00FFD9DA"/>
      <sz val="9"/>
    </font>
    <font>
      <name val="Montserrat"/>
      <b val="1"/>
      <color rgb="006D6E70"/>
      <sz val="8"/>
    </font>
    <font>
      <name val="Montserrat"/>
      <b val="1"/>
      <color rgb="00151112"/>
      <sz val="16"/>
    </font>
    <font>
      <name val="Montserrat"/>
      <i val="1"/>
      <color rgb="00ED1C24"/>
      <sz val="8"/>
    </font>
    <font>
      <name val="Montserrat"/>
      <color rgb="006D6E70"/>
      <sz val="8"/>
    </font>
    <font>
      <name val="Montserrat"/>
      <b val="1"/>
      <color rgb="00ED1C24"/>
      <sz val="22"/>
    </font>
    <font>
      <name val="Montserrat"/>
      <color rgb="00ED1C24"/>
      <sz val="8"/>
    </font>
    <font>
      <name val="Montserrat"/>
      <b val="1"/>
      <color rgb="00151112"/>
      <sz val="14"/>
    </font>
    <font>
      <name val="Montserrat"/>
      <b val="1"/>
      <color rgb="00ED1C24"/>
      <sz val="12"/>
    </font>
    <font>
      <name val="Montserrat"/>
      <b val="1"/>
      <color rgb="00151112"/>
      <sz val="9"/>
    </font>
    <font>
      <name val="Montserrat"/>
      <b val="1"/>
      <color rgb="00ED1C24"/>
      <sz val="8"/>
    </font>
    <font>
      <name val="Montserrat"/>
      <b val="1"/>
      <color rgb="00B70E17"/>
      <sz val="9"/>
    </font>
    <font>
      <name val="Montserrat"/>
      <b val="1"/>
      <color rgb="00FFFFFF"/>
      <sz val="8"/>
    </font>
    <font>
      <name val="Montserrat"/>
      <b val="1"/>
      <color rgb="00FFD9DA"/>
      <sz val="8"/>
    </font>
    <font>
      <name val="Montserrat"/>
      <b val="1"/>
      <color rgb="006D6E70"/>
      <sz val="11"/>
    </font>
    <font>
      <name val="Montserrat"/>
      <b val="1"/>
      <color rgb="00151112"/>
      <sz val="11"/>
    </font>
    <font>
      <name val="Montserrat"/>
      <color rgb="00ED1C24"/>
      <sz val="9"/>
    </font>
    <font>
      <name val="Montserrat"/>
      <color rgb="006D6E70"/>
      <sz val="9"/>
    </font>
    <font>
      <name val="Montserrat"/>
      <color rgb="00151112"/>
      <sz val="10"/>
    </font>
    <font>
      <name val="Montserrat"/>
      <b val="1"/>
      <color rgb="00FFFFFF"/>
      <sz val="9"/>
    </font>
    <font>
      <name val="Montserrat"/>
      <b val="1"/>
      <color rgb="00FFFFFF"/>
      <sz val="11"/>
    </font>
    <font>
      <name val="Montserrat"/>
      <b val="1"/>
      <color rgb="00ED1C24"/>
      <sz val="9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ED1C24"/>
        <bgColor rgb="00ED1C24"/>
      </patternFill>
    </fill>
    <fill>
      <patternFill patternType="solid">
        <fgColor rgb="00F5F2F2"/>
        <bgColor rgb="00F5F2F2"/>
      </patternFill>
    </fill>
    <fill>
      <patternFill patternType="solid">
        <fgColor rgb="00FDEDED"/>
        <bgColor rgb="00FDEDED"/>
      </patternFill>
    </fill>
    <fill>
      <patternFill patternType="solid">
        <fgColor rgb="00151112"/>
        <bgColor rgb="00151112"/>
      </patternFill>
    </fill>
    <fill>
      <patternFill patternType="solid">
        <fgColor rgb="00B70E17"/>
        <bgColor rgb="00B70E17"/>
      </patternFill>
    </fill>
  </fills>
  <borders count="5">
    <border>
      <left/>
      <right/>
      <top/>
      <bottom/>
      <diagonal/>
    </border>
    <border>
      <top style="medium">
        <color rgb="00ED1C24"/>
      </top>
    </border>
    <border/>
    <border>
      <bottom style="thin">
        <color rgb="00E6E0E0"/>
      </bottom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vertical="bottom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top"/>
    </xf>
    <xf numFmtId="0" fontId="0" fillId="2" borderId="0" pivotButton="0" quotePrefix="0" xfId="0"/>
    <xf numFmtId="0" fontId="4" fillId="2" borderId="1" applyAlignment="1" pivotButton="0" quotePrefix="0" xfId="0">
      <alignment horizontal="left" vertical="center" indent="1"/>
    </xf>
    <xf numFmtId="0" fontId="0" fillId="2" borderId="1" applyAlignment="1" pivotButton="0" quotePrefix="0" xfId="0">
      <alignment horizontal="left" vertical="center" indent="1"/>
    </xf>
    <xf numFmtId="164" fontId="5" fillId="4" borderId="2" applyAlignment="1" pivotButton="0" quotePrefix="0" xfId="0">
      <alignment horizontal="left" vertical="center" indent="1"/>
    </xf>
    <xf numFmtId="164" fontId="5" fillId="2" borderId="2" applyAlignment="1" pivotButton="0" quotePrefix="0" xfId="0">
      <alignment horizontal="left" vertical="center" indent="1"/>
    </xf>
    <xf numFmtId="9" fontId="8" fillId="2" borderId="2" applyAlignment="1" pivotButton="0" quotePrefix="0" xfId="0">
      <alignment horizontal="left" vertical="center" indent="1"/>
    </xf>
    <xf numFmtId="0" fontId="0" fillId="4" borderId="2" applyAlignment="1" pivotButton="0" quotePrefix="0" xfId="0">
      <alignment horizontal="left" vertical="center" indent="1"/>
    </xf>
    <xf numFmtId="165" fontId="10" fillId="4" borderId="2" applyAlignment="1" pivotButton="0" quotePrefix="0" xfId="0">
      <alignment horizontal="left" vertical="center" indent="1"/>
    </xf>
    <xf numFmtId="0" fontId="6" fillId="2" borderId="3" applyAlignment="1" pivotButton="0" quotePrefix="0" xfId="0">
      <alignment horizontal="left" vertical="center" indent="1"/>
    </xf>
    <xf numFmtId="0" fontId="7" fillId="2" borderId="3" applyAlignment="1" pivotButton="0" quotePrefix="0" xfId="0">
      <alignment horizontal="left" vertical="center" indent="1"/>
    </xf>
    <xf numFmtId="0" fontId="9" fillId="2" borderId="3" applyAlignment="1" pivotButton="0" quotePrefix="0" xfId="0">
      <alignment horizontal="left" vertical="center" indent="1"/>
    </xf>
    <xf numFmtId="0" fontId="0" fillId="2" borderId="3" applyAlignment="1" pivotButton="0" quotePrefix="0" xfId="0">
      <alignment horizontal="left" vertical="center" indent="1"/>
    </xf>
    <xf numFmtId="0" fontId="12" fillId="2" borderId="1" applyAlignment="1" pivotButton="0" quotePrefix="0" xfId="0">
      <alignment horizontal="left" vertical="center" indent="1"/>
    </xf>
    <xf numFmtId="0" fontId="11" fillId="2" borderId="2" applyAlignment="1" pivotButton="0" quotePrefix="0" xfId="0">
      <alignment horizontal="left" vertical="center" indent="1"/>
    </xf>
    <xf numFmtId="164" fontId="10" fillId="2" borderId="2" applyAlignment="1" pivotButton="0" quotePrefix="0" xfId="0">
      <alignment horizontal="left" vertical="center" indent="1"/>
    </xf>
    <xf numFmtId="0" fontId="13" fillId="2" borderId="3" applyAlignment="1" pivotButton="0" quotePrefix="0" xfId="0">
      <alignment horizontal="left" vertical="center" indent="1"/>
    </xf>
    <xf numFmtId="0" fontId="14" fillId="5" borderId="0" applyAlignment="1" pivotButton="0" quotePrefix="0" xfId="0">
      <alignment horizontal="left" vertical="center" indent="1"/>
    </xf>
    <xf numFmtId="0" fontId="15" fillId="6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 indent="1"/>
    </xf>
    <xf numFmtId="0" fontId="16" fillId="7" borderId="0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left" vertical="center" indent="1"/>
    </xf>
    <xf numFmtId="164" fontId="18" fillId="2" borderId="3" applyAlignment="1" pivotButton="0" quotePrefix="0" xfId="0">
      <alignment horizontal="left" vertical="center" indent="1"/>
    </xf>
    <xf numFmtId="0" fontId="19" fillId="2" borderId="3" applyAlignment="1" pivotButton="0" quotePrefix="0" xfId="0">
      <alignment horizontal="left" vertical="center" indent="1"/>
    </xf>
    <xf numFmtId="0" fontId="20" fillId="2" borderId="3" applyAlignment="1" pivotButton="0" quotePrefix="0" xfId="0">
      <alignment horizontal="left" vertical="center" indent="1"/>
    </xf>
    <xf numFmtId="166" fontId="21" fillId="4" borderId="4" applyAlignment="1" pivotButton="0" quotePrefix="0" xfId="0">
      <alignment horizontal="center" vertical="center"/>
    </xf>
    <xf numFmtId="0" fontId="22" fillId="6" borderId="0" applyAlignment="1" pivotButton="0" quotePrefix="0" xfId="0">
      <alignment horizontal="left" vertical="center" indent="1"/>
    </xf>
    <xf numFmtId="0" fontId="23" fillId="6" borderId="0" applyAlignment="1" pivotButton="0" quotePrefix="0" xfId="0">
      <alignment horizontal="left" vertical="center" indent="1"/>
    </xf>
    <xf numFmtId="164" fontId="23" fillId="6" borderId="0" applyAlignment="1" pivotButton="0" quotePrefix="0" xfId="0">
      <alignment horizontal="left" vertical="center" indent="1"/>
    </xf>
    <xf numFmtId="167" fontId="22" fillId="6" borderId="0" applyAlignment="1" pivotButton="0" quotePrefix="0" xfId="0">
      <alignment horizontal="left" vertical="center" indent="1"/>
    </xf>
    <xf numFmtId="0" fontId="22" fillId="6" borderId="0" pivotButton="0" quotePrefix="0" xfId="0"/>
    <xf numFmtId="0" fontId="24" fillId="0" borderId="0" pivotButton="0" quotePrefix="0" xfId="0"/>
    <xf numFmtId="0" fontId="20" fillId="0" borderId="0" pivotButton="0" quotePrefix="0" xfId="0"/>
    <xf numFmtId="1" fontId="20" fillId="0" borderId="0" pivotButton="0" quotePrefix="0" xfId="0"/>
    <xf numFmtId="165" fontId="20" fillId="0" borderId="0" pivotButton="0" quotePrefix="0" xfId="0"/>
  </cellXfs>
  <cellStyles count="1">
    <cellStyle name="Normal" xfId="0" builtinId="0" hidden="0"/>
  </cellStyles>
  <dxfs count="3">
    <dxf>
      <font>
        <name val="Montserrat"/>
        <b val="1"/>
        <color rgb="00FFFFFF"/>
      </font>
      <fill>
        <patternFill patternType="solid">
          <fgColor rgb="00ED1C24"/>
          <bgColor rgb="00ED1C24"/>
        </patternFill>
      </fill>
    </dxf>
    <dxf>
      <fill>
        <patternFill patternType="solid">
          <fgColor rgb="00FDEDED"/>
          <bgColor rgb="00FDEDED"/>
        </patternFill>
      </fill>
    </dxf>
    <dxf>
      <font>
        <name val="Montserrat"/>
        <b val="1"/>
        <color rgb="00B70E17"/>
      </font>
      <fill>
        <patternFill patternType="solid">
          <fgColor rgb="00FFE3E4"/>
          <bgColor rgb="00FFE3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Ranking</author>
  </authors>
  <commentList>
    <comment ref="G16" authorId="0" shapeId="0">
      <text>
        <t>Vendas em mil. Digite 50 para R$ 50.000. Cada consultor usa a própria linha; vá preenchendo da esquerda para a direita.</t>
      </text>
    </comment>
    <comment ref="G32" authorId="0" shapeId="0">
      <text>
        <t>Na lousa: R$ 770 mil em 2 cotas, sem a divisão entre elas. Se souber, separe nas duas casinhas.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57150</colOff>
      <row>0</row>
      <rowOff>133350</rowOff>
    </from>
    <ext cx="1866900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0</row>
      <rowOff>76200</rowOff>
    </from>
    <ext cx="112395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ED1C24"/>
    <outlinePr summaryBelow="1" summaryRight="1"/>
    <pageSetUpPr/>
  </sheetPr>
  <dimension ref="A1:AK48"/>
  <sheetViews>
    <sheetView showGridLines="0" zoomScale="10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2.5" customWidth="1" min="1" max="1"/>
    <col width="6" customWidth="1" min="2" max="2"/>
    <col width="27" customWidth="1" min="3" max="3"/>
    <col width="24" customWidth="1" min="4" max="4"/>
    <col width="24" customWidth="1" min="5" max="5"/>
    <col width="24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2.5" customWidth="1" min="37" max="37"/>
  </cols>
  <sheetData>
    <row r="1" ht="1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 ht="30" customHeight="1">
      <c r="A2" s="1" t="n"/>
      <c r="B2" s="1" t="n"/>
      <c r="C2" s="1" t="n"/>
      <c r="D2" s="1" t="n"/>
      <c r="E2" s="2" t="inlineStr">
        <is>
          <t>RANKING DE VENDAS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</row>
    <row r="3" ht="26" customHeight="1">
      <c r="A3" s="1" t="n"/>
      <c r="B3" s="1" t="n"/>
      <c r="C3" s="1" t="n"/>
      <c r="D3" s="1" t="n"/>
      <c r="E3" s="3" t="inlineStr">
        <is>
          <t>Franquia Anália Franco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</row>
    <row r="4" ht="22" customHeight="1">
      <c r="A4" s="1" t="n"/>
      <c r="B4" s="1" t="n"/>
      <c r="C4" s="1" t="n"/>
      <c r="D4" s="1" t="n"/>
      <c r="E4" s="4" t="inlineStr">
        <is>
          <t>Consórcio Embracon  ·  Porque sonhar não tem limites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</row>
    <row r="6" ht="14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</row>
    <row r="7" ht="16" customHeight="1">
      <c r="A7" s="5" t="n"/>
      <c r="B7" s="5" t="n"/>
      <c r="C7" s="6" t="inlineStr">
        <is>
          <t>META DA FRANQUIA</t>
        </is>
      </c>
      <c r="D7" s="6" t="inlineStr">
        <is>
          <t>VENDIDO</t>
        </is>
      </c>
      <c r="E7" s="6" t="inlineStr">
        <is>
          <t>% DA META</t>
        </is>
      </c>
      <c r="F7" s="6" t="inlineStr">
        <is>
          <t>FALTA VENDER</t>
        </is>
      </c>
      <c r="G7" s="6" t="inlineStr">
        <is>
          <t>META POR EQUIPE</t>
        </is>
      </c>
      <c r="H7" s="7" t="n"/>
      <c r="I7" s="7" t="n"/>
      <c r="J7" s="7" t="n"/>
      <c r="K7" s="6" t="inlineStr">
        <is>
          <t>INÍCIO DO CICLO</t>
        </is>
      </c>
      <c r="L7" s="7" t="n"/>
      <c r="M7" s="7" t="n"/>
      <c r="N7" s="7" t="n"/>
      <c r="O7" s="6" t="inlineStr">
        <is>
          <t>FIM DO CICLO</t>
        </is>
      </c>
      <c r="P7" s="7" t="n"/>
      <c r="Q7" s="7" t="n"/>
      <c r="R7" s="7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</row>
    <row r="8" ht="34" customHeight="1">
      <c r="A8" s="5" t="n"/>
      <c r="B8" s="5" t="n"/>
      <c r="C8" s="8" t="n">
        <v>21000</v>
      </c>
      <c r="D8" s="9">
        <f>D46</f>
        <v/>
      </c>
      <c r="E8" s="10">
        <f>IF(C8&gt;0,D8/C8,0)</f>
        <v/>
      </c>
      <c r="F8" s="9">
        <f>MAX(0,C8-D8)</f>
        <v/>
      </c>
      <c r="G8" s="8" t="n">
        <v>7000</v>
      </c>
      <c r="H8" s="11" t="n"/>
      <c r="I8" s="11" t="n"/>
      <c r="J8" s="11" t="n"/>
      <c r="K8" s="12" t="n">
        <v>46296</v>
      </c>
      <c r="L8" s="11" t="n"/>
      <c r="M8" s="11" t="n"/>
      <c r="N8" s="11" t="n"/>
      <c r="O8" s="12" t="n">
        <v>46325</v>
      </c>
      <c r="P8" s="11" t="n"/>
      <c r="Q8" s="11" t="n"/>
      <c r="R8" s="11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</row>
    <row r="9" ht="16" customHeight="1">
      <c r="A9" s="5" t="n"/>
      <c r="B9" s="5" t="n"/>
      <c r="C9" s="13" t="inlineStr">
        <is>
          <t>✎ digite em mil  ·  21.000 = R$ 21 mi</t>
        </is>
      </c>
      <c r="D9" s="14" t="inlineStr">
        <is>
          <t>soma de todas as vendas</t>
        </is>
      </c>
      <c r="E9" s="15">
        <f>REPT("█",ROUND(MIN(1,E8)*20,0))&amp;REPT("░",20-ROUND(MIN(1,E8)*20,0))</f>
        <v/>
      </c>
      <c r="F9" s="14" t="inlineStr">
        <is>
          <t>para fechar a meta</t>
        </is>
      </c>
      <c r="G9" s="13" t="inlineStr">
        <is>
          <t>✎ digite em mil  ·  7.000 = R$ 7 mi</t>
        </is>
      </c>
      <c r="H9" s="16" t="n"/>
      <c r="I9" s="16" t="n"/>
      <c r="J9" s="16" t="n"/>
      <c r="K9" s="13" t="inlineStr">
        <is>
          <t>✎ opcional</t>
        </is>
      </c>
      <c r="L9" s="16" t="n"/>
      <c r="M9" s="16" t="n"/>
      <c r="N9" s="16" t="n"/>
      <c r="O9" s="13" t="inlineStr">
        <is>
          <t>✎ opcional</t>
        </is>
      </c>
      <c r="P9" s="16" t="n"/>
      <c r="Q9" s="16" t="n"/>
      <c r="R9" s="16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</row>
    <row r="10" ht="14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</row>
    <row r="11" ht="16" customHeight="1">
      <c r="A11" s="5" t="n"/>
      <c r="B11" s="5" t="n"/>
      <c r="C11" s="6" t="inlineStr">
        <is>
          <t>EQUIPES</t>
        </is>
      </c>
      <c r="D11" s="17" t="inlineStr">
        <is>
          <t>Esquadrão Alpha</t>
        </is>
      </c>
      <c r="E11" s="17" t="inlineStr">
        <is>
          <t>Artilheiros</t>
        </is>
      </c>
      <c r="F11" s="17" t="inlineStr">
        <is>
          <t>Lekos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</row>
    <row r="12" ht="30" customHeight="1">
      <c r="A12" s="5" t="n"/>
      <c r="B12" s="5" t="n"/>
      <c r="C12" s="18">
        <f>IF(MAX(D12:F12)=0,"Nenhuma venda ainda",INDEX(D11:F11,MATCH(MAX(D12:F12),D12:F12,0))&amp;" na frente")</f>
        <v/>
      </c>
      <c r="D12" s="19">
        <f>SUMIF($F$17:$F$45,D11,$D$17:$D$45)</f>
        <v/>
      </c>
      <c r="E12" s="19">
        <f>SUMIF($F$17:$F$45,E11,$D$17:$D$45)</f>
        <v/>
      </c>
      <c r="F12" s="19">
        <f>SUMIF($F$17:$F$45,F11,$D$17:$D$45)</f>
        <v/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</row>
    <row r="13" ht="16" customHeight="1">
      <c r="A13" s="5" t="n"/>
      <c r="B13" s="5" t="n"/>
      <c r="C13" s="14">
        <f>"meta de cada equipe: R$ "&amp;TEXT($G$8,"#,##0")&amp;".000"</f>
        <v/>
      </c>
      <c r="D13" s="20">
        <f>IF(D12&gt;=$G$8,"meta batida","faltam R$ "&amp;TEXT($G$8-D12,"#,##0")&amp;".000")</f>
        <v/>
      </c>
      <c r="E13" s="20">
        <f>IF(E12&gt;=$G$8,"meta batida","faltam R$ "&amp;TEXT($G$8-E12,"#,##0")&amp;".000")</f>
        <v/>
      </c>
      <c r="F13" s="20">
        <f>IF(F12&gt;=$G$8,"meta batida","faltam R$ "&amp;TEXT($G$8-F12,"#,##0")&amp;".000")</f>
        <v/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</row>
    <row r="14" ht="14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</row>
    <row r="15" ht="30" customHeight="1">
      <c r="A15" s="5" t="n"/>
      <c r="B15" s="21" t="inlineStr">
        <is>
          <t>COMO LANÇAR   ·   Ache o consultor e digite a venda na próxima casinha cinza, em mil:   50 = R$ 50.000   ·   300 = R$ 300.000   ·   1.000 = R$ 1 milhão.   O total, a posição e as equipes se atualizam sozinhos.</t>
        </is>
      </c>
      <c r="AK15" s="5" t="n"/>
    </row>
    <row r="16" ht="26" customHeight="1">
      <c r="A16" s="5" t="n"/>
      <c r="B16" s="22" t="inlineStr">
        <is>
          <t>#</t>
        </is>
      </c>
      <c r="C16" s="23" t="inlineStr">
        <is>
          <t>CONSULTOR</t>
        </is>
      </c>
      <c r="D16" s="23" t="inlineStr">
        <is>
          <t>TOTAL VENDIDO</t>
        </is>
      </c>
      <c r="E16" s="23" t="inlineStr">
        <is>
          <t>PARTICIPAÇÃO</t>
        </is>
      </c>
      <c r="F16" s="23" t="inlineStr">
        <is>
          <t>EQUIPE</t>
        </is>
      </c>
      <c r="G16" s="24" t="inlineStr">
        <is>
          <t>1ª venda</t>
        </is>
      </c>
      <c r="H16" s="24" t="inlineStr">
        <is>
          <t>2ª</t>
        </is>
      </c>
      <c r="I16" s="24" t="inlineStr">
        <is>
          <t>3ª</t>
        </is>
      </c>
      <c r="J16" s="24" t="inlineStr">
        <is>
          <t>4ª</t>
        </is>
      </c>
      <c r="K16" s="24" t="inlineStr">
        <is>
          <t>5ª</t>
        </is>
      </c>
      <c r="L16" s="24" t="inlineStr">
        <is>
          <t>6ª</t>
        </is>
      </c>
      <c r="M16" s="24" t="inlineStr">
        <is>
          <t>7ª</t>
        </is>
      </c>
      <c r="N16" s="24" t="inlineStr">
        <is>
          <t>8ª</t>
        </is>
      </c>
      <c r="O16" s="24" t="inlineStr">
        <is>
          <t>9ª</t>
        </is>
      </c>
      <c r="P16" s="24" t="inlineStr">
        <is>
          <t>10ª</t>
        </is>
      </c>
      <c r="Q16" s="24" t="inlineStr">
        <is>
          <t>11ª</t>
        </is>
      </c>
      <c r="R16" s="24" t="inlineStr">
        <is>
          <t>12ª</t>
        </is>
      </c>
      <c r="S16" s="24" t="inlineStr">
        <is>
          <t>13ª</t>
        </is>
      </c>
      <c r="T16" s="24" t="inlineStr">
        <is>
          <t>14ª</t>
        </is>
      </c>
      <c r="U16" s="24" t="inlineStr">
        <is>
          <t>15ª</t>
        </is>
      </c>
      <c r="V16" s="24" t="inlineStr">
        <is>
          <t>16ª</t>
        </is>
      </c>
      <c r="W16" s="24" t="inlineStr">
        <is>
          <t>17ª</t>
        </is>
      </c>
      <c r="X16" s="24" t="inlineStr">
        <is>
          <t>18ª</t>
        </is>
      </c>
      <c r="Y16" s="24" t="inlineStr">
        <is>
          <t>19ª</t>
        </is>
      </c>
      <c r="Z16" s="24" t="inlineStr">
        <is>
          <t>20ª</t>
        </is>
      </c>
      <c r="AA16" s="24" t="inlineStr">
        <is>
          <t>21ª</t>
        </is>
      </c>
      <c r="AB16" s="24" t="inlineStr">
        <is>
          <t>22ª</t>
        </is>
      </c>
      <c r="AC16" s="24" t="inlineStr">
        <is>
          <t>23ª</t>
        </is>
      </c>
      <c r="AD16" s="24" t="inlineStr">
        <is>
          <t>24ª</t>
        </is>
      </c>
      <c r="AE16" s="24" t="inlineStr">
        <is>
          <t>25ª</t>
        </is>
      </c>
      <c r="AF16" s="24" t="inlineStr">
        <is>
          <t>26ª</t>
        </is>
      </c>
      <c r="AG16" s="24" t="inlineStr">
        <is>
          <t>27ª</t>
        </is>
      </c>
      <c r="AH16" s="24" t="inlineStr">
        <is>
          <t>28ª</t>
        </is>
      </c>
      <c r="AI16" s="24" t="inlineStr">
        <is>
          <t>29ª</t>
        </is>
      </c>
      <c r="AJ16" s="24" t="inlineStr">
        <is>
          <t>30ª</t>
        </is>
      </c>
      <c r="AK16" s="5" t="n"/>
    </row>
    <row r="17" ht="24" customHeight="1">
      <c r="A17" s="5" t="n"/>
      <c r="B17" s="25">
        <f>IF(C17="","",IF(D17=0,"–",RANK(D17,$D$17:$D$45)))</f>
        <v/>
      </c>
      <c r="C17" s="26" t="inlineStr">
        <is>
          <t>Camily Dias</t>
        </is>
      </c>
      <c r="D17" s="27">
        <f>IF(C17="","",SUM(G17:AJ17))</f>
        <v/>
      </c>
      <c r="E17" s="28">
        <f>IF(OR(C17="",$D$46=0),"",REPT("█",ROUND(D17/MAX($D$17:$D$45)*10,0))&amp;REPT("░",10-ROUND(D17/MAX($D$17:$D$45)*10,0))&amp;"  "&amp;TEXT(D17/$D$46,"0%")&amp;" do total")</f>
        <v/>
      </c>
      <c r="F17" s="29" t="inlineStr">
        <is>
          <t>Esquadrão Alpha</t>
        </is>
      </c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5" t="n"/>
    </row>
    <row r="18" ht="24" customHeight="1">
      <c r="A18" s="5" t="n"/>
      <c r="B18" s="25">
        <f>IF(C18="","",IF(D18=0,"–",RANK(D18,$D$17:$D$45)))</f>
        <v/>
      </c>
      <c r="C18" s="26" t="inlineStr">
        <is>
          <t>Claudia Lino</t>
        </is>
      </c>
      <c r="D18" s="27">
        <f>IF(C18="","",SUM(G18:AJ18))</f>
        <v/>
      </c>
      <c r="E18" s="28">
        <f>IF(OR(C18="",$D$46=0),"",REPT("█",ROUND(D18/MAX($D$17:$D$45)*10,0))&amp;REPT("░",10-ROUND(D18/MAX($D$17:$D$45)*10,0))&amp;"  "&amp;TEXT(D18/$D$46,"0%")&amp;" do total")</f>
        <v/>
      </c>
      <c r="F18" s="29" t="inlineStr">
        <is>
          <t>Esquadrão Alpha</t>
        </is>
      </c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5" t="n"/>
    </row>
    <row r="19" ht="24" customHeight="1">
      <c r="A19" s="5" t="n"/>
      <c r="B19" s="25">
        <f>IF(C19="","",IF(D19=0,"–",RANK(D19,$D$17:$D$45)))</f>
        <v/>
      </c>
      <c r="C19" s="26" t="inlineStr">
        <is>
          <t>Giovana Rodrigues</t>
        </is>
      </c>
      <c r="D19" s="27">
        <f>IF(C19="","",SUM(G19:AJ19))</f>
        <v/>
      </c>
      <c r="E19" s="28">
        <f>IF(OR(C19="",$D$46=0),"",REPT("█",ROUND(D19/MAX($D$17:$D$45)*10,0))&amp;REPT("░",10-ROUND(D19/MAX($D$17:$D$45)*10,0))&amp;"  "&amp;TEXT(D19/$D$46,"0%")&amp;" do total")</f>
        <v/>
      </c>
      <c r="F19" s="29" t="inlineStr">
        <is>
          <t>Esquadrão Alpha</t>
        </is>
      </c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5" t="n"/>
    </row>
    <row r="20" ht="24" customHeight="1">
      <c r="A20" s="5" t="n"/>
      <c r="B20" s="25">
        <f>IF(C20="","",IF(D20=0,"–",RANK(D20,$D$17:$D$45)))</f>
        <v/>
      </c>
      <c r="C20" s="26" t="inlineStr">
        <is>
          <t>Suli Teixeira</t>
        </is>
      </c>
      <c r="D20" s="27">
        <f>IF(C20="","",SUM(G20:AJ20))</f>
        <v/>
      </c>
      <c r="E20" s="28">
        <f>IF(OR(C20="",$D$46=0),"",REPT("█",ROUND(D20/MAX($D$17:$D$45)*10,0))&amp;REPT("░",10-ROUND(D20/MAX($D$17:$D$45)*10,0))&amp;"  "&amp;TEXT(D20/$D$46,"0%")&amp;" do total")</f>
        <v/>
      </c>
      <c r="F20" s="29" t="inlineStr">
        <is>
          <t>Esquadrão Alpha</t>
        </is>
      </c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0" t="n"/>
      <c r="AK20" s="5" t="n"/>
    </row>
    <row r="21" ht="24" customHeight="1">
      <c r="A21" s="5" t="n"/>
      <c r="B21" s="25">
        <f>IF(C21="","",IF(D21=0,"–",RANK(D21,$D$17:$D$45)))</f>
        <v/>
      </c>
      <c r="C21" s="26" t="inlineStr">
        <is>
          <t>Izabella Nascimento</t>
        </is>
      </c>
      <c r="D21" s="27">
        <f>IF(C21="","",SUM(G21:AJ21))</f>
        <v/>
      </c>
      <c r="E21" s="28">
        <f>IF(OR(C21="",$D$46=0),"",REPT("█",ROUND(D21/MAX($D$17:$D$45)*10,0))&amp;REPT("░",10-ROUND(D21/MAX($D$17:$D$45)*10,0))&amp;"  "&amp;TEXT(D21/$D$46,"0%")&amp;" do total")</f>
        <v/>
      </c>
      <c r="F21" s="29" t="inlineStr">
        <is>
          <t>Esquadrão Alpha</t>
        </is>
      </c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5" t="n"/>
    </row>
    <row r="22" ht="24" customHeight="1">
      <c r="A22" s="5" t="n"/>
      <c r="B22" s="25">
        <f>IF(C22="","",IF(D22=0,"–",RANK(D22,$D$17:$D$45)))</f>
        <v/>
      </c>
      <c r="C22" s="26" t="inlineStr">
        <is>
          <t>Alex Sandro</t>
        </is>
      </c>
      <c r="D22" s="27">
        <f>IF(C22="","",SUM(G22:AJ22))</f>
        <v/>
      </c>
      <c r="E22" s="28">
        <f>IF(OR(C22="",$D$46=0),"",REPT("█",ROUND(D22/MAX($D$17:$D$45)*10,0))&amp;REPT("░",10-ROUND(D22/MAX($D$17:$D$45)*10,0))&amp;"  "&amp;TEXT(D22/$D$46,"0%")&amp;" do total")</f>
        <v/>
      </c>
      <c r="F22" s="29" t="inlineStr">
        <is>
          <t>Artilheiros</t>
        </is>
      </c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5" t="n"/>
    </row>
    <row r="23" ht="24" customHeight="1">
      <c r="A23" s="5" t="n"/>
      <c r="B23" s="25">
        <f>IF(C23="","",IF(D23=0,"–",RANK(D23,$D$17:$D$45)))</f>
        <v/>
      </c>
      <c r="C23" s="26" t="inlineStr">
        <is>
          <t>Edvan Fernandes</t>
        </is>
      </c>
      <c r="D23" s="27">
        <f>IF(C23="","",SUM(G23:AJ23))</f>
        <v/>
      </c>
      <c r="E23" s="28">
        <f>IF(OR(C23="",$D$46=0),"",REPT("█",ROUND(D23/MAX($D$17:$D$45)*10,0))&amp;REPT("░",10-ROUND(D23/MAX($D$17:$D$45)*10,0))&amp;"  "&amp;TEXT(D23/$D$46,"0%")&amp;" do total")</f>
        <v/>
      </c>
      <c r="F23" s="29" t="inlineStr">
        <is>
          <t>Artilheiros</t>
        </is>
      </c>
      <c r="G23" s="30" t="n">
        <v>700</v>
      </c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5" t="n"/>
    </row>
    <row r="24" ht="24" customHeight="1">
      <c r="A24" s="5" t="n"/>
      <c r="B24" s="25">
        <f>IF(C24="","",IF(D24=0,"–",RANK(D24,$D$17:$D$45)))</f>
        <v/>
      </c>
      <c r="C24" s="26" t="inlineStr">
        <is>
          <t>Enzo Santorelli</t>
        </is>
      </c>
      <c r="D24" s="27">
        <f>IF(C24="","",SUM(G24:AJ24))</f>
        <v/>
      </c>
      <c r="E24" s="28">
        <f>IF(OR(C24="",$D$46=0),"",REPT("█",ROUND(D24/MAX($D$17:$D$45)*10,0))&amp;REPT("░",10-ROUND(D24/MAX($D$17:$D$45)*10,0))&amp;"  "&amp;TEXT(D24/$D$46,"0%")&amp;" do total")</f>
        <v/>
      </c>
      <c r="F24" s="29" t="inlineStr">
        <is>
          <t>Artilheiros</t>
        </is>
      </c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5" t="n"/>
    </row>
    <row r="25" ht="24" customHeight="1">
      <c r="A25" s="5" t="n"/>
      <c r="B25" s="25">
        <f>IF(C25="","",IF(D25=0,"–",RANK(D25,$D$17:$D$45)))</f>
        <v/>
      </c>
      <c r="C25" s="26" t="inlineStr">
        <is>
          <t>Pedro Lucas</t>
        </is>
      </c>
      <c r="D25" s="27">
        <f>IF(C25="","",SUM(G25:AJ25))</f>
        <v/>
      </c>
      <c r="E25" s="28">
        <f>IF(OR(C25="",$D$46=0),"",REPT("█",ROUND(D25/MAX($D$17:$D$45)*10,0))&amp;REPT("░",10-ROUND(D25/MAX($D$17:$D$45)*10,0))&amp;"  "&amp;TEXT(D25/$D$46,"0%")&amp;" do total")</f>
        <v/>
      </c>
      <c r="F25" s="29" t="inlineStr">
        <is>
          <t>Artilheiros</t>
        </is>
      </c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  <c r="AG25" s="30" t="n"/>
      <c r="AH25" s="30" t="n"/>
      <c r="AI25" s="30" t="n"/>
      <c r="AJ25" s="30" t="n"/>
      <c r="AK25" s="5" t="n"/>
    </row>
    <row r="26" ht="24" customHeight="1">
      <c r="A26" s="5" t="n"/>
      <c r="B26" s="25">
        <f>IF(C26="","",IF(D26=0,"–",RANK(D26,$D$17:$D$45)))</f>
        <v/>
      </c>
      <c r="C26" s="26" t="inlineStr">
        <is>
          <t>Ricardo Neves</t>
        </is>
      </c>
      <c r="D26" s="27">
        <f>IF(C26="","",SUM(G26:AJ26))</f>
        <v/>
      </c>
      <c r="E26" s="28">
        <f>IF(OR(C26="",$D$46=0),"",REPT("█",ROUND(D26/MAX($D$17:$D$45)*10,0))&amp;REPT("░",10-ROUND(D26/MAX($D$17:$D$45)*10,0))&amp;"  "&amp;TEXT(D26/$D$46,"0%")&amp;" do total")</f>
        <v/>
      </c>
      <c r="F26" s="29" t="inlineStr">
        <is>
          <t>Artilheiros</t>
        </is>
      </c>
      <c r="G26" s="30" t="n">
        <v>100</v>
      </c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5" t="n"/>
    </row>
    <row r="27" ht="24" customHeight="1">
      <c r="A27" s="5" t="n"/>
      <c r="B27" s="25">
        <f>IF(C27="","",IF(D27=0,"–",RANK(D27,$D$17:$D$45)))</f>
        <v/>
      </c>
      <c r="C27" s="26" t="inlineStr">
        <is>
          <t>Tamyres Reis</t>
        </is>
      </c>
      <c r="D27" s="27">
        <f>IF(C27="","",SUM(G27:AJ27))</f>
        <v/>
      </c>
      <c r="E27" s="28">
        <f>IF(OR(C27="",$D$46=0),"",REPT("█",ROUND(D27/MAX($D$17:$D$45)*10,0))&amp;REPT("░",10-ROUND(D27/MAX($D$17:$D$45)*10,0))&amp;"  "&amp;TEXT(D27/$D$46,"0%")&amp;" do total")</f>
        <v/>
      </c>
      <c r="F27" s="29" t="inlineStr">
        <is>
          <t>Artilheiros</t>
        </is>
      </c>
      <c r="G27" s="30" t="n">
        <v>80</v>
      </c>
      <c r="H27" s="30" t="n">
        <v>60</v>
      </c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5" t="n"/>
    </row>
    <row r="28" ht="24" customHeight="1">
      <c r="A28" s="5" t="n"/>
      <c r="B28" s="25">
        <f>IF(C28="","",IF(D28=0,"–",RANK(D28,$D$17:$D$45)))</f>
        <v/>
      </c>
      <c r="C28" s="26" t="inlineStr">
        <is>
          <t>Bruno Marques</t>
        </is>
      </c>
      <c r="D28" s="27">
        <f>IF(C28="","",SUM(G28:AJ28))</f>
        <v/>
      </c>
      <c r="E28" s="28">
        <f>IF(OR(C28="",$D$46=0),"",REPT("█",ROUND(D28/MAX($D$17:$D$45)*10,0))&amp;REPT("░",10-ROUND(D28/MAX($D$17:$D$45)*10,0))&amp;"  "&amp;TEXT(D28/$D$46,"0%")&amp;" do total")</f>
        <v/>
      </c>
      <c r="F28" s="29" t="inlineStr">
        <is>
          <t>Lekos</t>
        </is>
      </c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  <c r="AG28" s="30" t="n"/>
      <c r="AH28" s="30" t="n"/>
      <c r="AI28" s="30" t="n"/>
      <c r="AJ28" s="30" t="n"/>
      <c r="AK28" s="5" t="n"/>
    </row>
    <row r="29" ht="24" customHeight="1">
      <c r="A29" s="5" t="n"/>
      <c r="B29" s="25">
        <f>IF(C29="","",IF(D29=0,"–",RANK(D29,$D$17:$D$45)))</f>
        <v/>
      </c>
      <c r="C29" s="26" t="inlineStr">
        <is>
          <t>Matheus Detilio</t>
        </is>
      </c>
      <c r="D29" s="27">
        <f>IF(C29="","",SUM(G29:AJ29))</f>
        <v/>
      </c>
      <c r="E29" s="28">
        <f>IF(OR(C29="",$D$46=0),"",REPT("█",ROUND(D29/MAX($D$17:$D$45)*10,0))&amp;REPT("░",10-ROUND(D29/MAX($D$17:$D$45)*10,0))&amp;"  "&amp;TEXT(D29/$D$46,"0%")&amp;" do total")</f>
        <v/>
      </c>
      <c r="F29" s="29" t="inlineStr">
        <is>
          <t>Lekos</t>
        </is>
      </c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5" t="n"/>
    </row>
    <row r="30" ht="24" customHeight="1">
      <c r="A30" s="5" t="n"/>
      <c r="B30" s="25">
        <f>IF(C30="","",IF(D30=0,"–",RANK(D30,$D$17:$D$45)))</f>
        <v/>
      </c>
      <c r="C30" s="26" t="inlineStr">
        <is>
          <t>Lais Berloni</t>
        </is>
      </c>
      <c r="D30" s="27">
        <f>IF(C30="","",SUM(G30:AJ30))</f>
        <v/>
      </c>
      <c r="E30" s="28">
        <f>IF(OR(C30="",$D$46=0),"",REPT("█",ROUND(D30/MAX($D$17:$D$45)*10,0))&amp;REPT("░",10-ROUND(D30/MAX($D$17:$D$45)*10,0))&amp;"  "&amp;TEXT(D30/$D$46,"0%")&amp;" do total")</f>
        <v/>
      </c>
      <c r="F30" s="29" t="inlineStr">
        <is>
          <t>Lekos</t>
        </is>
      </c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5" t="n"/>
    </row>
    <row r="31" ht="24" customHeight="1">
      <c r="A31" s="5" t="n"/>
      <c r="B31" s="25">
        <f>IF(C31="","",IF(D31=0,"–",RANK(D31,$D$17:$D$45)))</f>
        <v/>
      </c>
      <c r="C31" s="26" t="inlineStr">
        <is>
          <t>Mateus Sales</t>
        </is>
      </c>
      <c r="D31" s="27">
        <f>IF(C31="","",SUM(G31:AJ31))</f>
        <v/>
      </c>
      <c r="E31" s="28">
        <f>IF(OR(C31="",$D$46=0),"",REPT("█",ROUND(D31/MAX($D$17:$D$45)*10,0))&amp;REPT("░",10-ROUND(D31/MAX($D$17:$D$45)*10,0))&amp;"  "&amp;TEXT(D31/$D$46,"0%")&amp;" do total")</f>
        <v/>
      </c>
      <c r="F31" s="29" t="inlineStr">
        <is>
          <t>Lekos</t>
        </is>
      </c>
      <c r="G31" s="30" t="n">
        <v>400</v>
      </c>
      <c r="H31" s="30" t="n">
        <v>70</v>
      </c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5" t="n"/>
    </row>
    <row r="32" ht="24" customHeight="1">
      <c r="A32" s="5" t="n"/>
      <c r="B32" s="25">
        <f>IF(C32="","",IF(D32=0,"–",RANK(D32,$D$17:$D$45)))</f>
        <v/>
      </c>
      <c r="C32" s="26" t="inlineStr">
        <is>
          <t>Gabriel Caseri</t>
        </is>
      </c>
      <c r="D32" s="27">
        <f>IF(C32="","",SUM(G32:AJ32))</f>
        <v/>
      </c>
      <c r="E32" s="28">
        <f>IF(OR(C32="",$D$46=0),"",REPT("█",ROUND(D32/MAX($D$17:$D$45)*10,0))&amp;REPT("░",10-ROUND(D32/MAX($D$17:$D$45)*10,0))&amp;"  "&amp;TEXT(D32/$D$46,"0%")&amp;" do total")</f>
        <v/>
      </c>
      <c r="F32" s="29" t="inlineStr">
        <is>
          <t>Lekos</t>
        </is>
      </c>
      <c r="G32" s="30" t="n">
        <v>770</v>
      </c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5" t="n"/>
    </row>
    <row r="33" ht="24" customHeight="1">
      <c r="A33" s="5" t="n"/>
      <c r="B33" s="25">
        <f>IF(C33="","",IF(D33=0,"–",RANK(D33,$D$17:$D$45)))</f>
        <v/>
      </c>
      <c r="C33" s="26" t="inlineStr">
        <is>
          <t>Juliana Delgado</t>
        </is>
      </c>
      <c r="D33" s="27">
        <f>IF(C33="","",SUM(G33:AJ33))</f>
        <v/>
      </c>
      <c r="E33" s="28">
        <f>IF(OR(C33="",$D$46=0),"",REPT("█",ROUND(D33/MAX($D$17:$D$45)*10,0))&amp;REPT("░",10-ROUND(D33/MAX($D$17:$D$45)*10,0))&amp;"  "&amp;TEXT(D33/$D$46,"0%")&amp;" do total")</f>
        <v/>
      </c>
      <c r="F33" s="29" t="inlineStr">
        <is>
          <t>Lekos</t>
        </is>
      </c>
      <c r="G33" s="30" t="n">
        <v>540</v>
      </c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5" t="n"/>
    </row>
    <row r="34" ht="24" customHeight="1">
      <c r="A34" s="5" t="n"/>
      <c r="B34" s="25">
        <f>IF(C34="","",IF(D34=0,"–",RANK(D34,$D$17:$D$45)))</f>
        <v/>
      </c>
      <c r="C34" s="26" t="inlineStr">
        <is>
          <t>Fernando Kasemodel</t>
        </is>
      </c>
      <c r="D34" s="27">
        <f>IF(C34="","",SUM(G34:AJ34))</f>
        <v/>
      </c>
      <c r="E34" s="28">
        <f>IF(OR(C34="",$D$46=0),"",REPT("█",ROUND(D34/MAX($D$17:$D$45)*10,0))&amp;REPT("░",10-ROUND(D34/MAX($D$17:$D$45)*10,0))&amp;"  "&amp;TEXT(D34/$D$46,"0%")&amp;" do total")</f>
        <v/>
      </c>
      <c r="F34" s="29" t="inlineStr">
        <is>
          <t>Lekos</t>
        </is>
      </c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  <c r="AG34" s="30" t="n"/>
      <c r="AH34" s="30" t="n"/>
      <c r="AI34" s="30" t="n"/>
      <c r="AJ34" s="30" t="n"/>
      <c r="AK34" s="5" t="n"/>
    </row>
    <row r="35" ht="24" customHeight="1">
      <c r="A35" s="5" t="n"/>
      <c r="B35" s="25">
        <f>IF(C35="","",IF(D35=0,"–",RANK(D35,$D$17:$D$45)))</f>
        <v/>
      </c>
      <c r="C35" s="26" t="inlineStr">
        <is>
          <t>Stephanie Martins</t>
        </is>
      </c>
      <c r="D35" s="27">
        <f>IF(C35="","",SUM(G35:AJ35))</f>
        <v/>
      </c>
      <c r="E35" s="28">
        <f>IF(OR(C35="",$D$46=0),"",REPT("█",ROUND(D35/MAX($D$17:$D$45)*10,0))&amp;REPT("░",10-ROUND(D35/MAX($D$17:$D$45)*10,0))&amp;"  "&amp;TEXT(D35/$D$46,"0%")&amp;" do total")</f>
        <v/>
      </c>
      <c r="F35" s="29" t="inlineStr">
        <is>
          <t>Lekos</t>
        </is>
      </c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30" t="n"/>
      <c r="AD35" s="30" t="n"/>
      <c r="AE35" s="30" t="n"/>
      <c r="AF35" s="30" t="n"/>
      <c r="AG35" s="30" t="n"/>
      <c r="AH35" s="30" t="n"/>
      <c r="AI35" s="30" t="n"/>
      <c r="AJ35" s="30" t="n"/>
      <c r="AK35" s="5" t="n"/>
    </row>
    <row r="36" ht="24" customHeight="1">
      <c r="A36" s="5" t="n"/>
      <c r="B36" s="25">
        <f>IF(C36="","",IF(D36=0,"–",RANK(D36,$D$17:$D$45)))</f>
        <v/>
      </c>
      <c r="C36" s="26" t="n"/>
      <c r="D36" s="27">
        <f>IF(C36="","",SUM(G36:AJ36))</f>
        <v/>
      </c>
      <c r="E36" s="28">
        <f>IF(OR(C36="",$D$46=0),"",REPT("█",ROUND(D36/MAX($D$17:$D$45)*10,0))&amp;REPT("░",10-ROUND(D36/MAX($D$17:$D$45)*10,0))&amp;"  "&amp;TEXT(D36/$D$46,"0%")&amp;" do total")</f>
        <v/>
      </c>
      <c r="F36" s="29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  <c r="AB36" s="30" t="n"/>
      <c r="AC36" s="30" t="n"/>
      <c r="AD36" s="30" t="n"/>
      <c r="AE36" s="30" t="n"/>
      <c r="AF36" s="30" t="n"/>
      <c r="AG36" s="30" t="n"/>
      <c r="AH36" s="30" t="n"/>
      <c r="AI36" s="30" t="n"/>
      <c r="AJ36" s="30" t="n"/>
      <c r="AK36" s="5" t="n"/>
    </row>
    <row r="37" ht="24" customHeight="1">
      <c r="A37" s="5" t="n"/>
      <c r="B37" s="25">
        <f>IF(C37="","",IF(D37=0,"–",RANK(D37,$D$17:$D$45)))</f>
        <v/>
      </c>
      <c r="C37" s="26" t="n"/>
      <c r="D37" s="27">
        <f>IF(C37="","",SUM(G37:AJ37))</f>
        <v/>
      </c>
      <c r="E37" s="28">
        <f>IF(OR(C37="",$D$46=0),"",REPT("█",ROUND(D37/MAX($D$17:$D$45)*10,0))&amp;REPT("░",10-ROUND(D37/MAX($D$17:$D$45)*10,0))&amp;"  "&amp;TEXT(D37/$D$46,"0%")&amp;" do total")</f>
        <v/>
      </c>
      <c r="F37" s="29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  <c r="AB37" s="30" t="n"/>
      <c r="AC37" s="30" t="n"/>
      <c r="AD37" s="30" t="n"/>
      <c r="AE37" s="30" t="n"/>
      <c r="AF37" s="30" t="n"/>
      <c r="AG37" s="30" t="n"/>
      <c r="AH37" s="30" t="n"/>
      <c r="AI37" s="30" t="n"/>
      <c r="AJ37" s="30" t="n"/>
      <c r="AK37" s="5" t="n"/>
    </row>
    <row r="38" ht="24" customHeight="1">
      <c r="A38" s="5" t="n"/>
      <c r="B38" s="25">
        <f>IF(C38="","",IF(D38=0,"–",RANK(D38,$D$17:$D$45)))</f>
        <v/>
      </c>
      <c r="C38" s="26" t="n"/>
      <c r="D38" s="27">
        <f>IF(C38="","",SUM(G38:AJ38))</f>
        <v/>
      </c>
      <c r="E38" s="28">
        <f>IF(OR(C38="",$D$46=0),"",REPT("█",ROUND(D38/MAX($D$17:$D$45)*10,0))&amp;REPT("░",10-ROUND(D38/MAX($D$17:$D$45)*10,0))&amp;"  "&amp;TEXT(D38/$D$46,"0%")&amp;" do total")</f>
        <v/>
      </c>
      <c r="F38" s="29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  <c r="AA38" s="30" t="n"/>
      <c r="AB38" s="30" t="n"/>
      <c r="AC38" s="30" t="n"/>
      <c r="AD38" s="30" t="n"/>
      <c r="AE38" s="30" t="n"/>
      <c r="AF38" s="30" t="n"/>
      <c r="AG38" s="30" t="n"/>
      <c r="AH38" s="30" t="n"/>
      <c r="AI38" s="30" t="n"/>
      <c r="AJ38" s="30" t="n"/>
      <c r="AK38" s="5" t="n"/>
    </row>
    <row r="39" ht="24" customHeight="1">
      <c r="A39" s="5" t="n"/>
      <c r="B39" s="25">
        <f>IF(C39="","",IF(D39=0,"–",RANK(D39,$D$17:$D$45)))</f>
        <v/>
      </c>
      <c r="C39" s="26" t="n"/>
      <c r="D39" s="27">
        <f>IF(C39="","",SUM(G39:AJ39))</f>
        <v/>
      </c>
      <c r="E39" s="28">
        <f>IF(OR(C39="",$D$46=0),"",REPT("█",ROUND(D39/MAX($D$17:$D$45)*10,0))&amp;REPT("░",10-ROUND(D39/MAX($D$17:$D$45)*10,0))&amp;"  "&amp;TEXT(D39/$D$46,"0%")&amp;" do total")</f>
        <v/>
      </c>
      <c r="F39" s="29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0" t="n"/>
      <c r="AK39" s="5" t="n"/>
    </row>
    <row r="40" ht="24" customHeight="1">
      <c r="A40" s="5" t="n"/>
      <c r="B40" s="25">
        <f>IF(C40="","",IF(D40=0,"–",RANK(D40,$D$17:$D$45)))</f>
        <v/>
      </c>
      <c r="C40" s="26" t="n"/>
      <c r="D40" s="27">
        <f>IF(C40="","",SUM(G40:AJ40))</f>
        <v/>
      </c>
      <c r="E40" s="28">
        <f>IF(OR(C40="",$D$46=0),"",REPT("█",ROUND(D40/MAX($D$17:$D$45)*10,0))&amp;REPT("░",10-ROUND(D40/MAX($D$17:$D$45)*10,0))&amp;"  "&amp;TEXT(D40/$D$46,"0%")&amp;" do total")</f>
        <v/>
      </c>
      <c r="F40" s="29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0" t="n"/>
      <c r="AK40" s="5" t="n"/>
    </row>
    <row r="41" ht="24" customHeight="1">
      <c r="A41" s="5" t="n"/>
      <c r="B41" s="25">
        <f>IF(C41="","",IF(D41=0,"–",RANK(D41,$D$17:$D$45)))</f>
        <v/>
      </c>
      <c r="C41" s="26" t="n"/>
      <c r="D41" s="27">
        <f>IF(C41="","",SUM(G41:AJ41))</f>
        <v/>
      </c>
      <c r="E41" s="28">
        <f>IF(OR(C41="",$D$46=0),"",REPT("█",ROUND(D41/MAX($D$17:$D$45)*10,0))&amp;REPT("░",10-ROUND(D41/MAX($D$17:$D$45)*10,0))&amp;"  "&amp;TEXT(D41/$D$46,"0%")&amp;" do total")</f>
        <v/>
      </c>
      <c r="F41" s="29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0" t="n"/>
      <c r="AK41" s="5" t="n"/>
    </row>
    <row r="42" ht="24" customHeight="1">
      <c r="A42" s="5" t="n"/>
      <c r="B42" s="25">
        <f>IF(C42="","",IF(D42=0,"–",RANK(D42,$D$17:$D$45)))</f>
        <v/>
      </c>
      <c r="C42" s="26" t="n"/>
      <c r="D42" s="27">
        <f>IF(C42="","",SUM(G42:AJ42))</f>
        <v/>
      </c>
      <c r="E42" s="28">
        <f>IF(OR(C42="",$D$46=0),"",REPT("█",ROUND(D42/MAX($D$17:$D$45)*10,0))&amp;REPT("░",10-ROUND(D42/MAX($D$17:$D$45)*10,0))&amp;"  "&amp;TEXT(D42/$D$46,"0%")&amp;" do total")</f>
        <v/>
      </c>
      <c r="F42" s="29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30" t="n"/>
      <c r="AD42" s="30" t="n"/>
      <c r="AE42" s="30" t="n"/>
      <c r="AF42" s="30" t="n"/>
      <c r="AG42" s="30" t="n"/>
      <c r="AH42" s="30" t="n"/>
      <c r="AI42" s="30" t="n"/>
      <c r="AJ42" s="30" t="n"/>
      <c r="AK42" s="5" t="n"/>
    </row>
    <row r="43" ht="24" customHeight="1">
      <c r="A43" s="5" t="n"/>
      <c r="B43" s="25">
        <f>IF(C43="","",IF(D43=0,"–",RANK(D43,$D$17:$D$45)))</f>
        <v/>
      </c>
      <c r="C43" s="26" t="n"/>
      <c r="D43" s="27">
        <f>IF(C43="","",SUM(G43:AJ43))</f>
        <v/>
      </c>
      <c r="E43" s="28">
        <f>IF(OR(C43="",$D$46=0),"",REPT("█",ROUND(D43/MAX($D$17:$D$45)*10,0))&amp;REPT("░",10-ROUND(D43/MAX($D$17:$D$45)*10,0))&amp;"  "&amp;TEXT(D43/$D$46,"0%")&amp;" do total")</f>
        <v/>
      </c>
      <c r="F43" s="29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0" t="n"/>
      <c r="AK43" s="5" t="n"/>
    </row>
    <row r="44" ht="24" customHeight="1">
      <c r="A44" s="5" t="n"/>
      <c r="B44" s="25">
        <f>IF(C44="","",IF(D44=0,"–",RANK(D44,$D$17:$D$45)))</f>
        <v/>
      </c>
      <c r="C44" s="26" t="n"/>
      <c r="D44" s="27">
        <f>IF(C44="","",SUM(G44:AJ44))</f>
        <v/>
      </c>
      <c r="E44" s="28">
        <f>IF(OR(C44="",$D$46=0),"",REPT("█",ROUND(D44/MAX($D$17:$D$45)*10,0))&amp;REPT("░",10-ROUND(D44/MAX($D$17:$D$45)*10,0))&amp;"  "&amp;TEXT(D44/$D$46,"0%")&amp;" do total")</f>
        <v/>
      </c>
      <c r="F44" s="29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30" t="n"/>
      <c r="AC44" s="30" t="n"/>
      <c r="AD44" s="30" t="n"/>
      <c r="AE44" s="30" t="n"/>
      <c r="AF44" s="30" t="n"/>
      <c r="AG44" s="30" t="n"/>
      <c r="AH44" s="30" t="n"/>
      <c r="AI44" s="30" t="n"/>
      <c r="AJ44" s="30" t="n"/>
      <c r="AK44" s="5" t="n"/>
    </row>
    <row r="45" ht="24" customHeight="1">
      <c r="A45" s="5" t="n"/>
      <c r="B45" s="25">
        <f>IF(C45="","",IF(D45=0,"–",RANK(D45,$D$17:$D$45)))</f>
        <v/>
      </c>
      <c r="C45" s="26" t="n"/>
      <c r="D45" s="27">
        <f>IF(C45="","",SUM(G45:AJ45))</f>
        <v/>
      </c>
      <c r="E45" s="28">
        <f>IF(OR(C45="",$D$46=0),"",REPT("█",ROUND(D45/MAX($D$17:$D$45)*10,0))&amp;REPT("░",10-ROUND(D45/MAX($D$17:$D$45)*10,0))&amp;"  "&amp;TEXT(D45/$D$46,"0%")&amp;" do total")</f>
        <v/>
      </c>
      <c r="F45" s="29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  <c r="AA45" s="30" t="n"/>
      <c r="AB45" s="30" t="n"/>
      <c r="AC45" s="30" t="n"/>
      <c r="AD45" s="30" t="n"/>
      <c r="AE45" s="30" t="n"/>
      <c r="AF45" s="30" t="n"/>
      <c r="AG45" s="30" t="n"/>
      <c r="AH45" s="30" t="n"/>
      <c r="AI45" s="30" t="n"/>
      <c r="AJ45" s="30" t="n"/>
      <c r="AK45" s="5" t="n"/>
    </row>
    <row r="46" ht="30" customHeight="1">
      <c r="A46" s="5" t="n"/>
      <c r="B46" s="31" t="n"/>
      <c r="C46" s="32" t="inlineStr">
        <is>
          <t>TOTAL DA FRANQUIA</t>
        </is>
      </c>
      <c r="D46" s="33">
        <f>SUM(D17:D45)</f>
        <v/>
      </c>
      <c r="E46" s="34">
        <f>IF(C8&gt;0,D8/C8,0)</f>
        <v/>
      </c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  <c r="AG46" s="31" t="n"/>
      <c r="AH46" s="31" t="n"/>
      <c r="AI46" s="31" t="n"/>
      <c r="AJ46" s="31" t="n"/>
      <c r="A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</row>
  </sheetData>
  <mergeCells count="10">
    <mergeCell ref="O9:R9"/>
    <mergeCell ref="G9:J9"/>
    <mergeCell ref="G8:J8"/>
    <mergeCell ref="O8:R8"/>
    <mergeCell ref="O7:R7"/>
    <mergeCell ref="G7:J7"/>
    <mergeCell ref="K8:N8"/>
    <mergeCell ref="K7:N7"/>
    <mergeCell ref="K9:N9"/>
    <mergeCell ref="B15:AJ15"/>
  </mergeCells>
  <conditionalFormatting sqref="B17:F45">
    <cfRule type="expression" priority="1" dxfId="0">
      <formula>$B17=1</formula>
    </cfRule>
    <cfRule type="expression" priority="2" dxfId="1">
      <formula>AND(ISNUMBER($B17),$B17&gt;1,$B17&lt;=3)</formula>
    </cfRule>
  </conditionalFormatting>
  <conditionalFormatting sqref="G17:AJ45">
    <cfRule type="expression" priority="3" dxfId="2">
      <formula>G17&gt;0</formula>
    </cfRule>
  </conditionalFormatting>
  <dataValidations count="4">
    <dataValidation sqref="G17:AJ45" showDropDown="0" showInputMessage="1" showErrorMessage="1" allowBlank="1" errorTitle="Digite em mil" error="Use o valor em mil: 50 para R$ 50.000, 300 para R$ 300.000, 1000 para R$ 1 milhão." promptTitle="Venda em mil" prompt="50 = R$ 50.000  ·  1000 = R$ 1 milhão" type="whole" operator="between">
      <formula1>1</formula1>
      <formula2>9999</formula2>
    </dataValidation>
    <dataValidation sqref="F17:F45" showDropDown="0" showInputMessage="0" showErrorMessage="1" allowBlank="1" errorTitle="Equipe" error="Escolha uma das equipes da lista." type="list">
      <formula1>$D$11:$F$11</formula1>
    </dataValidation>
    <dataValidation sqref="C8 G8" showDropDown="0" showInputMessage="0" showErrorMessage="1" allowBlank="0" errorTitle="Digite em mil" error="Use o valor em mil: 21000 para R$ 21 milhões." type="whole" operator="greaterThan">
      <formula1>0</formula1>
    </dataValidation>
    <dataValidation sqref="K8 O8" showDropDown="0" showInputMessage="0" showErrorMessage="1" allowBlank="1" errorTitle="Data" error="Digite uma data, por exemplo 01/10/2026." type="date" operator="greaterThan">
      <formula1>45000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6D6E70"/>
    <outlinePr summaryBelow="1" summaryRight="1"/>
    <pageSetUpPr/>
  </sheetPr>
  <dimension ref="A1:AN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3" customWidth="1" min="34" max="34"/>
    <col width="16" customWidth="1" min="35" max="35"/>
    <col width="16" customWidth="1" min="36" max="36"/>
    <col width="16" customWidth="1" min="37" max="37"/>
    <col width="16" customWidth="1" min="38" max="38"/>
  </cols>
  <sheetData>
    <row r="1">
      <c r="A1" s="35" t="inlineStr">
        <is>
          <t>Consultor</t>
        </is>
      </c>
      <c r="B1" s="35" t="inlineStr">
        <is>
          <t>Equipe</t>
        </is>
      </c>
      <c r="C1" s="35" t="inlineStr">
        <is>
          <t>Vendido</t>
        </is>
      </c>
      <c r="D1" s="35" t="inlineStr">
        <is>
          <t>Venda 1</t>
        </is>
      </c>
      <c r="E1" s="35" t="inlineStr">
        <is>
          <t>Venda 2</t>
        </is>
      </c>
      <c r="F1" s="35" t="inlineStr">
        <is>
          <t>Venda 3</t>
        </is>
      </c>
      <c r="G1" s="35" t="inlineStr">
        <is>
          <t>Venda 4</t>
        </is>
      </c>
      <c r="H1" s="35" t="inlineStr">
        <is>
          <t>Venda 5</t>
        </is>
      </c>
      <c r="I1" s="35" t="inlineStr">
        <is>
          <t>Venda 6</t>
        </is>
      </c>
      <c r="J1" s="35" t="inlineStr">
        <is>
          <t>Venda 7</t>
        </is>
      </c>
      <c r="K1" s="35" t="inlineStr">
        <is>
          <t>Venda 8</t>
        </is>
      </c>
      <c r="L1" s="35" t="inlineStr">
        <is>
          <t>Venda 9</t>
        </is>
      </c>
      <c r="M1" s="35" t="inlineStr">
        <is>
          <t>Venda 10</t>
        </is>
      </c>
      <c r="N1" s="35" t="inlineStr">
        <is>
          <t>Venda 11</t>
        </is>
      </c>
      <c r="O1" s="35" t="inlineStr">
        <is>
          <t>Venda 12</t>
        </is>
      </c>
      <c r="P1" s="35" t="inlineStr">
        <is>
          <t>Venda 13</t>
        </is>
      </c>
      <c r="Q1" s="35" t="inlineStr">
        <is>
          <t>Venda 14</t>
        </is>
      </c>
      <c r="R1" s="35" t="inlineStr">
        <is>
          <t>Venda 15</t>
        </is>
      </c>
      <c r="S1" s="35" t="inlineStr">
        <is>
          <t>Venda 16</t>
        </is>
      </c>
      <c r="T1" s="35" t="inlineStr">
        <is>
          <t>Venda 17</t>
        </is>
      </c>
      <c r="U1" s="35" t="inlineStr">
        <is>
          <t>Venda 18</t>
        </is>
      </c>
      <c r="V1" s="35" t="inlineStr">
        <is>
          <t>Venda 19</t>
        </is>
      </c>
      <c r="W1" s="35" t="inlineStr">
        <is>
          <t>Venda 20</t>
        </is>
      </c>
      <c r="X1" s="35" t="inlineStr">
        <is>
          <t>Venda 21</t>
        </is>
      </c>
      <c r="Y1" s="35" t="inlineStr">
        <is>
          <t>Venda 22</t>
        </is>
      </c>
      <c r="Z1" s="35" t="inlineStr">
        <is>
          <t>Venda 23</t>
        </is>
      </c>
      <c r="AA1" s="35" t="inlineStr">
        <is>
          <t>Venda 24</t>
        </is>
      </c>
      <c r="AB1" s="35" t="inlineStr">
        <is>
          <t>Venda 25</t>
        </is>
      </c>
      <c r="AC1" s="35" t="inlineStr">
        <is>
          <t>Venda 26</t>
        </is>
      </c>
      <c r="AD1" s="35" t="inlineStr">
        <is>
          <t>Venda 27</t>
        </is>
      </c>
      <c r="AE1" s="35" t="inlineStr">
        <is>
          <t>Venda 28</t>
        </is>
      </c>
      <c r="AF1" s="35" t="inlineStr">
        <is>
          <t>Venda 29</t>
        </is>
      </c>
      <c r="AG1" s="35" t="inlineStr">
        <is>
          <t>Venda 30</t>
        </is>
      </c>
      <c r="AI1" s="35" t="inlineStr">
        <is>
          <t>Meta da franquia</t>
        </is>
      </c>
      <c r="AJ1" s="35" t="inlineStr">
        <is>
          <t>Meta por equipe</t>
        </is>
      </c>
      <c r="AK1" s="35" t="inlineStr">
        <is>
          <t>Início do ciclo</t>
        </is>
      </c>
      <c r="AL1" s="35" t="inlineStr">
        <is>
          <t>Fim do ciclo</t>
        </is>
      </c>
      <c r="AN1" s="36" t="inlineStr">
        <is>
          <t>Esta aba alimenta o telão sozinha a partir da aba Ranking. Não precisa mexer aqui.</t>
        </is>
      </c>
    </row>
    <row r="2">
      <c r="A2" s="37">
        <f>IF(Ranking!C17="","",Ranking!C17)</f>
        <v/>
      </c>
      <c r="B2" s="37">
        <f>IF(Ranking!C17="","",Ranking!F17)</f>
        <v/>
      </c>
      <c r="C2" s="38">
        <f>IF(Ranking!C17="",0,N(Ranking!D17)*1000)</f>
        <v/>
      </c>
      <c r="D2" s="38">
        <f>IF(Ranking!$C17="",0,N(Ranking!G17)*1000)</f>
        <v/>
      </c>
      <c r="E2" s="38">
        <f>IF(Ranking!$C17="",0,N(Ranking!H17)*1000)</f>
        <v/>
      </c>
      <c r="F2" s="38">
        <f>IF(Ranking!$C17="",0,N(Ranking!I17)*1000)</f>
        <v/>
      </c>
      <c r="G2" s="38">
        <f>IF(Ranking!$C17="",0,N(Ranking!J17)*1000)</f>
        <v/>
      </c>
      <c r="H2" s="38">
        <f>IF(Ranking!$C17="",0,N(Ranking!K17)*1000)</f>
        <v/>
      </c>
      <c r="I2" s="38">
        <f>IF(Ranking!$C17="",0,N(Ranking!L17)*1000)</f>
        <v/>
      </c>
      <c r="J2" s="38">
        <f>IF(Ranking!$C17="",0,N(Ranking!M17)*1000)</f>
        <v/>
      </c>
      <c r="K2" s="38">
        <f>IF(Ranking!$C17="",0,N(Ranking!N17)*1000)</f>
        <v/>
      </c>
      <c r="L2" s="38">
        <f>IF(Ranking!$C17="",0,N(Ranking!O17)*1000)</f>
        <v/>
      </c>
      <c r="M2" s="38">
        <f>IF(Ranking!$C17="",0,N(Ranking!P17)*1000)</f>
        <v/>
      </c>
      <c r="N2" s="38">
        <f>IF(Ranking!$C17="",0,N(Ranking!Q17)*1000)</f>
        <v/>
      </c>
      <c r="O2" s="38">
        <f>IF(Ranking!$C17="",0,N(Ranking!R17)*1000)</f>
        <v/>
      </c>
      <c r="P2" s="38">
        <f>IF(Ranking!$C17="",0,N(Ranking!S17)*1000)</f>
        <v/>
      </c>
      <c r="Q2" s="38">
        <f>IF(Ranking!$C17="",0,N(Ranking!T17)*1000)</f>
        <v/>
      </c>
      <c r="R2" s="38">
        <f>IF(Ranking!$C17="",0,N(Ranking!U17)*1000)</f>
        <v/>
      </c>
      <c r="S2" s="38">
        <f>IF(Ranking!$C17="",0,N(Ranking!V17)*1000)</f>
        <v/>
      </c>
      <c r="T2" s="38">
        <f>IF(Ranking!$C17="",0,N(Ranking!W17)*1000)</f>
        <v/>
      </c>
      <c r="U2" s="38">
        <f>IF(Ranking!$C17="",0,N(Ranking!X17)*1000)</f>
        <v/>
      </c>
      <c r="V2" s="38">
        <f>IF(Ranking!$C17="",0,N(Ranking!Y17)*1000)</f>
        <v/>
      </c>
      <c r="W2" s="38">
        <f>IF(Ranking!$C17="",0,N(Ranking!Z17)*1000)</f>
        <v/>
      </c>
      <c r="X2" s="38">
        <f>IF(Ranking!$C17="",0,N(Ranking!AA17)*1000)</f>
        <v/>
      </c>
      <c r="Y2" s="38">
        <f>IF(Ranking!$C17="",0,N(Ranking!AB17)*1000)</f>
        <v/>
      </c>
      <c r="Z2" s="38">
        <f>IF(Ranking!$C17="",0,N(Ranking!AC17)*1000)</f>
        <v/>
      </c>
      <c r="AA2" s="38">
        <f>IF(Ranking!$C17="",0,N(Ranking!AD17)*1000)</f>
        <v/>
      </c>
      <c r="AB2" s="38">
        <f>IF(Ranking!$C17="",0,N(Ranking!AE17)*1000)</f>
        <v/>
      </c>
      <c r="AC2" s="38">
        <f>IF(Ranking!$C17="",0,N(Ranking!AF17)*1000)</f>
        <v/>
      </c>
      <c r="AD2" s="38">
        <f>IF(Ranking!$C17="",0,N(Ranking!AG17)*1000)</f>
        <v/>
      </c>
      <c r="AE2" s="38">
        <f>IF(Ranking!$C17="",0,N(Ranking!AH17)*1000)</f>
        <v/>
      </c>
      <c r="AF2" s="38">
        <f>IF(Ranking!$C17="",0,N(Ranking!AI17)*1000)</f>
        <v/>
      </c>
      <c r="AG2" s="38">
        <f>IF(Ranking!$C17="",0,N(Ranking!AJ17)*1000)</f>
        <v/>
      </c>
      <c r="AI2" s="38">
        <f>N(Ranking!C8)*1000</f>
        <v/>
      </c>
      <c r="AJ2" s="38">
        <f>N(Ranking!G8)*1000</f>
        <v/>
      </c>
      <c r="AK2" s="39">
        <f>IF(Ranking!K8="","",Ranking!K8)</f>
        <v/>
      </c>
      <c r="AL2" s="39">
        <f>IF(Ranking!O8="","",Ranking!O8)</f>
        <v/>
      </c>
    </row>
    <row r="3">
      <c r="A3" s="37">
        <f>IF(Ranking!C18="","",Ranking!C18)</f>
        <v/>
      </c>
      <c r="B3" s="37">
        <f>IF(Ranking!C18="","",Ranking!F18)</f>
        <v/>
      </c>
      <c r="C3" s="38">
        <f>IF(Ranking!C18="",0,N(Ranking!D18)*1000)</f>
        <v/>
      </c>
      <c r="D3" s="38">
        <f>IF(Ranking!$C18="",0,N(Ranking!G18)*1000)</f>
        <v/>
      </c>
      <c r="E3" s="38">
        <f>IF(Ranking!$C18="",0,N(Ranking!H18)*1000)</f>
        <v/>
      </c>
      <c r="F3" s="38">
        <f>IF(Ranking!$C18="",0,N(Ranking!I18)*1000)</f>
        <v/>
      </c>
      <c r="G3" s="38">
        <f>IF(Ranking!$C18="",0,N(Ranking!J18)*1000)</f>
        <v/>
      </c>
      <c r="H3" s="38">
        <f>IF(Ranking!$C18="",0,N(Ranking!K18)*1000)</f>
        <v/>
      </c>
      <c r="I3" s="38">
        <f>IF(Ranking!$C18="",0,N(Ranking!L18)*1000)</f>
        <v/>
      </c>
      <c r="J3" s="38">
        <f>IF(Ranking!$C18="",0,N(Ranking!M18)*1000)</f>
        <v/>
      </c>
      <c r="K3" s="38">
        <f>IF(Ranking!$C18="",0,N(Ranking!N18)*1000)</f>
        <v/>
      </c>
      <c r="L3" s="38">
        <f>IF(Ranking!$C18="",0,N(Ranking!O18)*1000)</f>
        <v/>
      </c>
      <c r="M3" s="38">
        <f>IF(Ranking!$C18="",0,N(Ranking!P18)*1000)</f>
        <v/>
      </c>
      <c r="N3" s="38">
        <f>IF(Ranking!$C18="",0,N(Ranking!Q18)*1000)</f>
        <v/>
      </c>
      <c r="O3" s="38">
        <f>IF(Ranking!$C18="",0,N(Ranking!R18)*1000)</f>
        <v/>
      </c>
      <c r="P3" s="38">
        <f>IF(Ranking!$C18="",0,N(Ranking!S18)*1000)</f>
        <v/>
      </c>
      <c r="Q3" s="38">
        <f>IF(Ranking!$C18="",0,N(Ranking!T18)*1000)</f>
        <v/>
      </c>
      <c r="R3" s="38">
        <f>IF(Ranking!$C18="",0,N(Ranking!U18)*1000)</f>
        <v/>
      </c>
      <c r="S3" s="38">
        <f>IF(Ranking!$C18="",0,N(Ranking!V18)*1000)</f>
        <v/>
      </c>
      <c r="T3" s="38">
        <f>IF(Ranking!$C18="",0,N(Ranking!W18)*1000)</f>
        <v/>
      </c>
      <c r="U3" s="38">
        <f>IF(Ranking!$C18="",0,N(Ranking!X18)*1000)</f>
        <v/>
      </c>
      <c r="V3" s="38">
        <f>IF(Ranking!$C18="",0,N(Ranking!Y18)*1000)</f>
        <v/>
      </c>
      <c r="W3" s="38">
        <f>IF(Ranking!$C18="",0,N(Ranking!Z18)*1000)</f>
        <v/>
      </c>
      <c r="X3" s="38">
        <f>IF(Ranking!$C18="",0,N(Ranking!AA18)*1000)</f>
        <v/>
      </c>
      <c r="Y3" s="38">
        <f>IF(Ranking!$C18="",0,N(Ranking!AB18)*1000)</f>
        <v/>
      </c>
      <c r="Z3" s="38">
        <f>IF(Ranking!$C18="",0,N(Ranking!AC18)*1000)</f>
        <v/>
      </c>
      <c r="AA3" s="38">
        <f>IF(Ranking!$C18="",0,N(Ranking!AD18)*1000)</f>
        <v/>
      </c>
      <c r="AB3" s="38">
        <f>IF(Ranking!$C18="",0,N(Ranking!AE18)*1000)</f>
        <v/>
      </c>
      <c r="AC3" s="38">
        <f>IF(Ranking!$C18="",0,N(Ranking!AF18)*1000)</f>
        <v/>
      </c>
      <c r="AD3" s="38">
        <f>IF(Ranking!$C18="",0,N(Ranking!AG18)*1000)</f>
        <v/>
      </c>
      <c r="AE3" s="38">
        <f>IF(Ranking!$C18="",0,N(Ranking!AH18)*1000)</f>
        <v/>
      </c>
      <c r="AF3" s="38">
        <f>IF(Ranking!$C18="",0,N(Ranking!AI18)*1000)</f>
        <v/>
      </c>
      <c r="AG3" s="38">
        <f>IF(Ranking!$C18="",0,N(Ranking!AJ18)*1000)</f>
        <v/>
      </c>
    </row>
    <row r="4">
      <c r="A4" s="37">
        <f>IF(Ranking!C19="","",Ranking!C19)</f>
        <v/>
      </c>
      <c r="B4" s="37">
        <f>IF(Ranking!C19="","",Ranking!F19)</f>
        <v/>
      </c>
      <c r="C4" s="38">
        <f>IF(Ranking!C19="",0,N(Ranking!D19)*1000)</f>
        <v/>
      </c>
      <c r="D4" s="38">
        <f>IF(Ranking!$C19="",0,N(Ranking!G19)*1000)</f>
        <v/>
      </c>
      <c r="E4" s="38">
        <f>IF(Ranking!$C19="",0,N(Ranking!H19)*1000)</f>
        <v/>
      </c>
      <c r="F4" s="38">
        <f>IF(Ranking!$C19="",0,N(Ranking!I19)*1000)</f>
        <v/>
      </c>
      <c r="G4" s="38">
        <f>IF(Ranking!$C19="",0,N(Ranking!J19)*1000)</f>
        <v/>
      </c>
      <c r="H4" s="38">
        <f>IF(Ranking!$C19="",0,N(Ranking!K19)*1000)</f>
        <v/>
      </c>
      <c r="I4" s="38">
        <f>IF(Ranking!$C19="",0,N(Ranking!L19)*1000)</f>
        <v/>
      </c>
      <c r="J4" s="38">
        <f>IF(Ranking!$C19="",0,N(Ranking!M19)*1000)</f>
        <v/>
      </c>
      <c r="K4" s="38">
        <f>IF(Ranking!$C19="",0,N(Ranking!N19)*1000)</f>
        <v/>
      </c>
      <c r="L4" s="38">
        <f>IF(Ranking!$C19="",0,N(Ranking!O19)*1000)</f>
        <v/>
      </c>
      <c r="M4" s="38">
        <f>IF(Ranking!$C19="",0,N(Ranking!P19)*1000)</f>
        <v/>
      </c>
      <c r="N4" s="38">
        <f>IF(Ranking!$C19="",0,N(Ranking!Q19)*1000)</f>
        <v/>
      </c>
      <c r="O4" s="38">
        <f>IF(Ranking!$C19="",0,N(Ranking!R19)*1000)</f>
        <v/>
      </c>
      <c r="P4" s="38">
        <f>IF(Ranking!$C19="",0,N(Ranking!S19)*1000)</f>
        <v/>
      </c>
      <c r="Q4" s="38">
        <f>IF(Ranking!$C19="",0,N(Ranking!T19)*1000)</f>
        <v/>
      </c>
      <c r="R4" s="38">
        <f>IF(Ranking!$C19="",0,N(Ranking!U19)*1000)</f>
        <v/>
      </c>
      <c r="S4" s="38">
        <f>IF(Ranking!$C19="",0,N(Ranking!V19)*1000)</f>
        <v/>
      </c>
      <c r="T4" s="38">
        <f>IF(Ranking!$C19="",0,N(Ranking!W19)*1000)</f>
        <v/>
      </c>
      <c r="U4" s="38">
        <f>IF(Ranking!$C19="",0,N(Ranking!X19)*1000)</f>
        <v/>
      </c>
      <c r="V4" s="38">
        <f>IF(Ranking!$C19="",0,N(Ranking!Y19)*1000)</f>
        <v/>
      </c>
      <c r="W4" s="38">
        <f>IF(Ranking!$C19="",0,N(Ranking!Z19)*1000)</f>
        <v/>
      </c>
      <c r="X4" s="38">
        <f>IF(Ranking!$C19="",0,N(Ranking!AA19)*1000)</f>
        <v/>
      </c>
      <c r="Y4" s="38">
        <f>IF(Ranking!$C19="",0,N(Ranking!AB19)*1000)</f>
        <v/>
      </c>
      <c r="Z4" s="38">
        <f>IF(Ranking!$C19="",0,N(Ranking!AC19)*1000)</f>
        <v/>
      </c>
      <c r="AA4" s="38">
        <f>IF(Ranking!$C19="",0,N(Ranking!AD19)*1000)</f>
        <v/>
      </c>
      <c r="AB4" s="38">
        <f>IF(Ranking!$C19="",0,N(Ranking!AE19)*1000)</f>
        <v/>
      </c>
      <c r="AC4" s="38">
        <f>IF(Ranking!$C19="",0,N(Ranking!AF19)*1000)</f>
        <v/>
      </c>
      <c r="AD4" s="38">
        <f>IF(Ranking!$C19="",0,N(Ranking!AG19)*1000)</f>
        <v/>
      </c>
      <c r="AE4" s="38">
        <f>IF(Ranking!$C19="",0,N(Ranking!AH19)*1000)</f>
        <v/>
      </c>
      <c r="AF4" s="38">
        <f>IF(Ranking!$C19="",0,N(Ranking!AI19)*1000)</f>
        <v/>
      </c>
      <c r="AG4" s="38">
        <f>IF(Ranking!$C19="",0,N(Ranking!AJ19)*1000)</f>
        <v/>
      </c>
    </row>
    <row r="5">
      <c r="A5" s="37">
        <f>IF(Ranking!C20="","",Ranking!C20)</f>
        <v/>
      </c>
      <c r="B5" s="37">
        <f>IF(Ranking!C20="","",Ranking!F20)</f>
        <v/>
      </c>
      <c r="C5" s="38">
        <f>IF(Ranking!C20="",0,N(Ranking!D20)*1000)</f>
        <v/>
      </c>
      <c r="D5" s="38">
        <f>IF(Ranking!$C20="",0,N(Ranking!G20)*1000)</f>
        <v/>
      </c>
      <c r="E5" s="38">
        <f>IF(Ranking!$C20="",0,N(Ranking!H20)*1000)</f>
        <v/>
      </c>
      <c r="F5" s="38">
        <f>IF(Ranking!$C20="",0,N(Ranking!I20)*1000)</f>
        <v/>
      </c>
      <c r="G5" s="38">
        <f>IF(Ranking!$C20="",0,N(Ranking!J20)*1000)</f>
        <v/>
      </c>
      <c r="H5" s="38">
        <f>IF(Ranking!$C20="",0,N(Ranking!K20)*1000)</f>
        <v/>
      </c>
      <c r="I5" s="38">
        <f>IF(Ranking!$C20="",0,N(Ranking!L20)*1000)</f>
        <v/>
      </c>
      <c r="J5" s="38">
        <f>IF(Ranking!$C20="",0,N(Ranking!M20)*1000)</f>
        <v/>
      </c>
      <c r="K5" s="38">
        <f>IF(Ranking!$C20="",0,N(Ranking!N20)*1000)</f>
        <v/>
      </c>
      <c r="L5" s="38">
        <f>IF(Ranking!$C20="",0,N(Ranking!O20)*1000)</f>
        <v/>
      </c>
      <c r="M5" s="38">
        <f>IF(Ranking!$C20="",0,N(Ranking!P20)*1000)</f>
        <v/>
      </c>
      <c r="N5" s="38">
        <f>IF(Ranking!$C20="",0,N(Ranking!Q20)*1000)</f>
        <v/>
      </c>
      <c r="O5" s="38">
        <f>IF(Ranking!$C20="",0,N(Ranking!R20)*1000)</f>
        <v/>
      </c>
      <c r="P5" s="38">
        <f>IF(Ranking!$C20="",0,N(Ranking!S20)*1000)</f>
        <v/>
      </c>
      <c r="Q5" s="38">
        <f>IF(Ranking!$C20="",0,N(Ranking!T20)*1000)</f>
        <v/>
      </c>
      <c r="R5" s="38">
        <f>IF(Ranking!$C20="",0,N(Ranking!U20)*1000)</f>
        <v/>
      </c>
      <c r="S5" s="38">
        <f>IF(Ranking!$C20="",0,N(Ranking!V20)*1000)</f>
        <v/>
      </c>
      <c r="T5" s="38">
        <f>IF(Ranking!$C20="",0,N(Ranking!W20)*1000)</f>
        <v/>
      </c>
      <c r="U5" s="38">
        <f>IF(Ranking!$C20="",0,N(Ranking!X20)*1000)</f>
        <v/>
      </c>
      <c r="V5" s="38">
        <f>IF(Ranking!$C20="",0,N(Ranking!Y20)*1000)</f>
        <v/>
      </c>
      <c r="W5" s="38">
        <f>IF(Ranking!$C20="",0,N(Ranking!Z20)*1000)</f>
        <v/>
      </c>
      <c r="X5" s="38">
        <f>IF(Ranking!$C20="",0,N(Ranking!AA20)*1000)</f>
        <v/>
      </c>
      <c r="Y5" s="38">
        <f>IF(Ranking!$C20="",0,N(Ranking!AB20)*1000)</f>
        <v/>
      </c>
      <c r="Z5" s="38">
        <f>IF(Ranking!$C20="",0,N(Ranking!AC20)*1000)</f>
        <v/>
      </c>
      <c r="AA5" s="38">
        <f>IF(Ranking!$C20="",0,N(Ranking!AD20)*1000)</f>
        <v/>
      </c>
      <c r="AB5" s="38">
        <f>IF(Ranking!$C20="",0,N(Ranking!AE20)*1000)</f>
        <v/>
      </c>
      <c r="AC5" s="38">
        <f>IF(Ranking!$C20="",0,N(Ranking!AF20)*1000)</f>
        <v/>
      </c>
      <c r="AD5" s="38">
        <f>IF(Ranking!$C20="",0,N(Ranking!AG20)*1000)</f>
        <v/>
      </c>
      <c r="AE5" s="38">
        <f>IF(Ranking!$C20="",0,N(Ranking!AH20)*1000)</f>
        <v/>
      </c>
      <c r="AF5" s="38">
        <f>IF(Ranking!$C20="",0,N(Ranking!AI20)*1000)</f>
        <v/>
      </c>
      <c r="AG5" s="38">
        <f>IF(Ranking!$C20="",0,N(Ranking!AJ20)*1000)</f>
        <v/>
      </c>
    </row>
    <row r="6">
      <c r="A6" s="37">
        <f>IF(Ranking!C21="","",Ranking!C21)</f>
        <v/>
      </c>
      <c r="B6" s="37">
        <f>IF(Ranking!C21="","",Ranking!F21)</f>
        <v/>
      </c>
      <c r="C6" s="38">
        <f>IF(Ranking!C21="",0,N(Ranking!D21)*1000)</f>
        <v/>
      </c>
      <c r="D6" s="38">
        <f>IF(Ranking!$C21="",0,N(Ranking!G21)*1000)</f>
        <v/>
      </c>
      <c r="E6" s="38">
        <f>IF(Ranking!$C21="",0,N(Ranking!H21)*1000)</f>
        <v/>
      </c>
      <c r="F6" s="38">
        <f>IF(Ranking!$C21="",0,N(Ranking!I21)*1000)</f>
        <v/>
      </c>
      <c r="G6" s="38">
        <f>IF(Ranking!$C21="",0,N(Ranking!J21)*1000)</f>
        <v/>
      </c>
      <c r="H6" s="38">
        <f>IF(Ranking!$C21="",0,N(Ranking!K21)*1000)</f>
        <v/>
      </c>
      <c r="I6" s="38">
        <f>IF(Ranking!$C21="",0,N(Ranking!L21)*1000)</f>
        <v/>
      </c>
      <c r="J6" s="38">
        <f>IF(Ranking!$C21="",0,N(Ranking!M21)*1000)</f>
        <v/>
      </c>
      <c r="K6" s="38">
        <f>IF(Ranking!$C21="",0,N(Ranking!N21)*1000)</f>
        <v/>
      </c>
      <c r="L6" s="38">
        <f>IF(Ranking!$C21="",0,N(Ranking!O21)*1000)</f>
        <v/>
      </c>
      <c r="M6" s="38">
        <f>IF(Ranking!$C21="",0,N(Ranking!P21)*1000)</f>
        <v/>
      </c>
      <c r="N6" s="38">
        <f>IF(Ranking!$C21="",0,N(Ranking!Q21)*1000)</f>
        <v/>
      </c>
      <c r="O6" s="38">
        <f>IF(Ranking!$C21="",0,N(Ranking!R21)*1000)</f>
        <v/>
      </c>
      <c r="P6" s="38">
        <f>IF(Ranking!$C21="",0,N(Ranking!S21)*1000)</f>
        <v/>
      </c>
      <c r="Q6" s="38">
        <f>IF(Ranking!$C21="",0,N(Ranking!T21)*1000)</f>
        <v/>
      </c>
      <c r="R6" s="38">
        <f>IF(Ranking!$C21="",0,N(Ranking!U21)*1000)</f>
        <v/>
      </c>
      <c r="S6" s="38">
        <f>IF(Ranking!$C21="",0,N(Ranking!V21)*1000)</f>
        <v/>
      </c>
      <c r="T6" s="38">
        <f>IF(Ranking!$C21="",0,N(Ranking!W21)*1000)</f>
        <v/>
      </c>
      <c r="U6" s="38">
        <f>IF(Ranking!$C21="",0,N(Ranking!X21)*1000)</f>
        <v/>
      </c>
      <c r="V6" s="38">
        <f>IF(Ranking!$C21="",0,N(Ranking!Y21)*1000)</f>
        <v/>
      </c>
      <c r="W6" s="38">
        <f>IF(Ranking!$C21="",0,N(Ranking!Z21)*1000)</f>
        <v/>
      </c>
      <c r="X6" s="38">
        <f>IF(Ranking!$C21="",0,N(Ranking!AA21)*1000)</f>
        <v/>
      </c>
      <c r="Y6" s="38">
        <f>IF(Ranking!$C21="",0,N(Ranking!AB21)*1000)</f>
        <v/>
      </c>
      <c r="Z6" s="38">
        <f>IF(Ranking!$C21="",0,N(Ranking!AC21)*1000)</f>
        <v/>
      </c>
      <c r="AA6" s="38">
        <f>IF(Ranking!$C21="",0,N(Ranking!AD21)*1000)</f>
        <v/>
      </c>
      <c r="AB6" s="38">
        <f>IF(Ranking!$C21="",0,N(Ranking!AE21)*1000)</f>
        <v/>
      </c>
      <c r="AC6" s="38">
        <f>IF(Ranking!$C21="",0,N(Ranking!AF21)*1000)</f>
        <v/>
      </c>
      <c r="AD6" s="38">
        <f>IF(Ranking!$C21="",0,N(Ranking!AG21)*1000)</f>
        <v/>
      </c>
      <c r="AE6" s="38">
        <f>IF(Ranking!$C21="",0,N(Ranking!AH21)*1000)</f>
        <v/>
      </c>
      <c r="AF6" s="38">
        <f>IF(Ranking!$C21="",0,N(Ranking!AI21)*1000)</f>
        <v/>
      </c>
      <c r="AG6" s="38">
        <f>IF(Ranking!$C21="",0,N(Ranking!AJ21)*1000)</f>
        <v/>
      </c>
    </row>
    <row r="7">
      <c r="A7" s="37">
        <f>IF(Ranking!C22="","",Ranking!C22)</f>
        <v/>
      </c>
      <c r="B7" s="37">
        <f>IF(Ranking!C22="","",Ranking!F22)</f>
        <v/>
      </c>
      <c r="C7" s="38">
        <f>IF(Ranking!C22="",0,N(Ranking!D22)*1000)</f>
        <v/>
      </c>
      <c r="D7" s="38">
        <f>IF(Ranking!$C22="",0,N(Ranking!G22)*1000)</f>
        <v/>
      </c>
      <c r="E7" s="38">
        <f>IF(Ranking!$C22="",0,N(Ranking!H22)*1000)</f>
        <v/>
      </c>
      <c r="F7" s="38">
        <f>IF(Ranking!$C22="",0,N(Ranking!I22)*1000)</f>
        <v/>
      </c>
      <c r="G7" s="38">
        <f>IF(Ranking!$C22="",0,N(Ranking!J22)*1000)</f>
        <v/>
      </c>
      <c r="H7" s="38">
        <f>IF(Ranking!$C22="",0,N(Ranking!K22)*1000)</f>
        <v/>
      </c>
      <c r="I7" s="38">
        <f>IF(Ranking!$C22="",0,N(Ranking!L22)*1000)</f>
        <v/>
      </c>
      <c r="J7" s="38">
        <f>IF(Ranking!$C22="",0,N(Ranking!M22)*1000)</f>
        <v/>
      </c>
      <c r="K7" s="38">
        <f>IF(Ranking!$C22="",0,N(Ranking!N22)*1000)</f>
        <v/>
      </c>
      <c r="L7" s="38">
        <f>IF(Ranking!$C22="",0,N(Ranking!O22)*1000)</f>
        <v/>
      </c>
      <c r="M7" s="38">
        <f>IF(Ranking!$C22="",0,N(Ranking!P22)*1000)</f>
        <v/>
      </c>
      <c r="N7" s="38">
        <f>IF(Ranking!$C22="",0,N(Ranking!Q22)*1000)</f>
        <v/>
      </c>
      <c r="O7" s="38">
        <f>IF(Ranking!$C22="",0,N(Ranking!R22)*1000)</f>
        <v/>
      </c>
      <c r="P7" s="38">
        <f>IF(Ranking!$C22="",0,N(Ranking!S22)*1000)</f>
        <v/>
      </c>
      <c r="Q7" s="38">
        <f>IF(Ranking!$C22="",0,N(Ranking!T22)*1000)</f>
        <v/>
      </c>
      <c r="R7" s="38">
        <f>IF(Ranking!$C22="",0,N(Ranking!U22)*1000)</f>
        <v/>
      </c>
      <c r="S7" s="38">
        <f>IF(Ranking!$C22="",0,N(Ranking!V22)*1000)</f>
        <v/>
      </c>
      <c r="T7" s="38">
        <f>IF(Ranking!$C22="",0,N(Ranking!W22)*1000)</f>
        <v/>
      </c>
      <c r="U7" s="38">
        <f>IF(Ranking!$C22="",0,N(Ranking!X22)*1000)</f>
        <v/>
      </c>
      <c r="V7" s="38">
        <f>IF(Ranking!$C22="",0,N(Ranking!Y22)*1000)</f>
        <v/>
      </c>
      <c r="W7" s="38">
        <f>IF(Ranking!$C22="",0,N(Ranking!Z22)*1000)</f>
        <v/>
      </c>
      <c r="X7" s="38">
        <f>IF(Ranking!$C22="",0,N(Ranking!AA22)*1000)</f>
        <v/>
      </c>
      <c r="Y7" s="38">
        <f>IF(Ranking!$C22="",0,N(Ranking!AB22)*1000)</f>
        <v/>
      </c>
      <c r="Z7" s="38">
        <f>IF(Ranking!$C22="",0,N(Ranking!AC22)*1000)</f>
        <v/>
      </c>
      <c r="AA7" s="38">
        <f>IF(Ranking!$C22="",0,N(Ranking!AD22)*1000)</f>
        <v/>
      </c>
      <c r="AB7" s="38">
        <f>IF(Ranking!$C22="",0,N(Ranking!AE22)*1000)</f>
        <v/>
      </c>
      <c r="AC7" s="38">
        <f>IF(Ranking!$C22="",0,N(Ranking!AF22)*1000)</f>
        <v/>
      </c>
      <c r="AD7" s="38">
        <f>IF(Ranking!$C22="",0,N(Ranking!AG22)*1000)</f>
        <v/>
      </c>
      <c r="AE7" s="38">
        <f>IF(Ranking!$C22="",0,N(Ranking!AH22)*1000)</f>
        <v/>
      </c>
      <c r="AF7" s="38">
        <f>IF(Ranking!$C22="",0,N(Ranking!AI22)*1000)</f>
        <v/>
      </c>
      <c r="AG7" s="38">
        <f>IF(Ranking!$C22="",0,N(Ranking!AJ22)*1000)</f>
        <v/>
      </c>
    </row>
    <row r="8">
      <c r="A8" s="37">
        <f>IF(Ranking!C23="","",Ranking!C23)</f>
        <v/>
      </c>
      <c r="B8" s="37">
        <f>IF(Ranking!C23="","",Ranking!F23)</f>
        <v/>
      </c>
      <c r="C8" s="38">
        <f>IF(Ranking!C23="",0,N(Ranking!D23)*1000)</f>
        <v/>
      </c>
      <c r="D8" s="38">
        <f>IF(Ranking!$C23="",0,N(Ranking!G23)*1000)</f>
        <v/>
      </c>
      <c r="E8" s="38">
        <f>IF(Ranking!$C23="",0,N(Ranking!H23)*1000)</f>
        <v/>
      </c>
      <c r="F8" s="38">
        <f>IF(Ranking!$C23="",0,N(Ranking!I23)*1000)</f>
        <v/>
      </c>
      <c r="G8" s="38">
        <f>IF(Ranking!$C23="",0,N(Ranking!J23)*1000)</f>
        <v/>
      </c>
      <c r="H8" s="38">
        <f>IF(Ranking!$C23="",0,N(Ranking!K23)*1000)</f>
        <v/>
      </c>
      <c r="I8" s="38">
        <f>IF(Ranking!$C23="",0,N(Ranking!L23)*1000)</f>
        <v/>
      </c>
      <c r="J8" s="38">
        <f>IF(Ranking!$C23="",0,N(Ranking!M23)*1000)</f>
        <v/>
      </c>
      <c r="K8" s="38">
        <f>IF(Ranking!$C23="",0,N(Ranking!N23)*1000)</f>
        <v/>
      </c>
      <c r="L8" s="38">
        <f>IF(Ranking!$C23="",0,N(Ranking!O23)*1000)</f>
        <v/>
      </c>
      <c r="M8" s="38">
        <f>IF(Ranking!$C23="",0,N(Ranking!P23)*1000)</f>
        <v/>
      </c>
      <c r="N8" s="38">
        <f>IF(Ranking!$C23="",0,N(Ranking!Q23)*1000)</f>
        <v/>
      </c>
      <c r="O8" s="38">
        <f>IF(Ranking!$C23="",0,N(Ranking!R23)*1000)</f>
        <v/>
      </c>
      <c r="P8" s="38">
        <f>IF(Ranking!$C23="",0,N(Ranking!S23)*1000)</f>
        <v/>
      </c>
      <c r="Q8" s="38">
        <f>IF(Ranking!$C23="",0,N(Ranking!T23)*1000)</f>
        <v/>
      </c>
      <c r="R8" s="38">
        <f>IF(Ranking!$C23="",0,N(Ranking!U23)*1000)</f>
        <v/>
      </c>
      <c r="S8" s="38">
        <f>IF(Ranking!$C23="",0,N(Ranking!V23)*1000)</f>
        <v/>
      </c>
      <c r="T8" s="38">
        <f>IF(Ranking!$C23="",0,N(Ranking!W23)*1000)</f>
        <v/>
      </c>
      <c r="U8" s="38">
        <f>IF(Ranking!$C23="",0,N(Ranking!X23)*1000)</f>
        <v/>
      </c>
      <c r="V8" s="38">
        <f>IF(Ranking!$C23="",0,N(Ranking!Y23)*1000)</f>
        <v/>
      </c>
      <c r="W8" s="38">
        <f>IF(Ranking!$C23="",0,N(Ranking!Z23)*1000)</f>
        <v/>
      </c>
      <c r="X8" s="38">
        <f>IF(Ranking!$C23="",0,N(Ranking!AA23)*1000)</f>
        <v/>
      </c>
      <c r="Y8" s="38">
        <f>IF(Ranking!$C23="",0,N(Ranking!AB23)*1000)</f>
        <v/>
      </c>
      <c r="Z8" s="38">
        <f>IF(Ranking!$C23="",0,N(Ranking!AC23)*1000)</f>
        <v/>
      </c>
      <c r="AA8" s="38">
        <f>IF(Ranking!$C23="",0,N(Ranking!AD23)*1000)</f>
        <v/>
      </c>
      <c r="AB8" s="38">
        <f>IF(Ranking!$C23="",0,N(Ranking!AE23)*1000)</f>
        <v/>
      </c>
      <c r="AC8" s="38">
        <f>IF(Ranking!$C23="",0,N(Ranking!AF23)*1000)</f>
        <v/>
      </c>
      <c r="AD8" s="38">
        <f>IF(Ranking!$C23="",0,N(Ranking!AG23)*1000)</f>
        <v/>
      </c>
      <c r="AE8" s="38">
        <f>IF(Ranking!$C23="",0,N(Ranking!AH23)*1000)</f>
        <v/>
      </c>
      <c r="AF8" s="38">
        <f>IF(Ranking!$C23="",0,N(Ranking!AI23)*1000)</f>
        <v/>
      </c>
      <c r="AG8" s="38">
        <f>IF(Ranking!$C23="",0,N(Ranking!AJ23)*1000)</f>
        <v/>
      </c>
    </row>
    <row r="9">
      <c r="A9" s="37">
        <f>IF(Ranking!C24="","",Ranking!C24)</f>
        <v/>
      </c>
      <c r="B9" s="37">
        <f>IF(Ranking!C24="","",Ranking!F24)</f>
        <v/>
      </c>
      <c r="C9" s="38">
        <f>IF(Ranking!C24="",0,N(Ranking!D24)*1000)</f>
        <v/>
      </c>
      <c r="D9" s="38">
        <f>IF(Ranking!$C24="",0,N(Ranking!G24)*1000)</f>
        <v/>
      </c>
      <c r="E9" s="38">
        <f>IF(Ranking!$C24="",0,N(Ranking!H24)*1000)</f>
        <v/>
      </c>
      <c r="F9" s="38">
        <f>IF(Ranking!$C24="",0,N(Ranking!I24)*1000)</f>
        <v/>
      </c>
      <c r="G9" s="38">
        <f>IF(Ranking!$C24="",0,N(Ranking!J24)*1000)</f>
        <v/>
      </c>
      <c r="H9" s="38">
        <f>IF(Ranking!$C24="",0,N(Ranking!K24)*1000)</f>
        <v/>
      </c>
      <c r="I9" s="38">
        <f>IF(Ranking!$C24="",0,N(Ranking!L24)*1000)</f>
        <v/>
      </c>
      <c r="J9" s="38">
        <f>IF(Ranking!$C24="",0,N(Ranking!M24)*1000)</f>
        <v/>
      </c>
      <c r="K9" s="38">
        <f>IF(Ranking!$C24="",0,N(Ranking!N24)*1000)</f>
        <v/>
      </c>
      <c r="L9" s="38">
        <f>IF(Ranking!$C24="",0,N(Ranking!O24)*1000)</f>
        <v/>
      </c>
      <c r="M9" s="38">
        <f>IF(Ranking!$C24="",0,N(Ranking!P24)*1000)</f>
        <v/>
      </c>
      <c r="N9" s="38">
        <f>IF(Ranking!$C24="",0,N(Ranking!Q24)*1000)</f>
        <v/>
      </c>
      <c r="O9" s="38">
        <f>IF(Ranking!$C24="",0,N(Ranking!R24)*1000)</f>
        <v/>
      </c>
      <c r="P9" s="38">
        <f>IF(Ranking!$C24="",0,N(Ranking!S24)*1000)</f>
        <v/>
      </c>
      <c r="Q9" s="38">
        <f>IF(Ranking!$C24="",0,N(Ranking!T24)*1000)</f>
        <v/>
      </c>
      <c r="R9" s="38">
        <f>IF(Ranking!$C24="",0,N(Ranking!U24)*1000)</f>
        <v/>
      </c>
      <c r="S9" s="38">
        <f>IF(Ranking!$C24="",0,N(Ranking!V24)*1000)</f>
        <v/>
      </c>
      <c r="T9" s="38">
        <f>IF(Ranking!$C24="",0,N(Ranking!W24)*1000)</f>
        <v/>
      </c>
      <c r="U9" s="38">
        <f>IF(Ranking!$C24="",0,N(Ranking!X24)*1000)</f>
        <v/>
      </c>
      <c r="V9" s="38">
        <f>IF(Ranking!$C24="",0,N(Ranking!Y24)*1000)</f>
        <v/>
      </c>
      <c r="W9" s="38">
        <f>IF(Ranking!$C24="",0,N(Ranking!Z24)*1000)</f>
        <v/>
      </c>
      <c r="X9" s="38">
        <f>IF(Ranking!$C24="",0,N(Ranking!AA24)*1000)</f>
        <v/>
      </c>
      <c r="Y9" s="38">
        <f>IF(Ranking!$C24="",0,N(Ranking!AB24)*1000)</f>
        <v/>
      </c>
      <c r="Z9" s="38">
        <f>IF(Ranking!$C24="",0,N(Ranking!AC24)*1000)</f>
        <v/>
      </c>
      <c r="AA9" s="38">
        <f>IF(Ranking!$C24="",0,N(Ranking!AD24)*1000)</f>
        <v/>
      </c>
      <c r="AB9" s="38">
        <f>IF(Ranking!$C24="",0,N(Ranking!AE24)*1000)</f>
        <v/>
      </c>
      <c r="AC9" s="38">
        <f>IF(Ranking!$C24="",0,N(Ranking!AF24)*1000)</f>
        <v/>
      </c>
      <c r="AD9" s="38">
        <f>IF(Ranking!$C24="",0,N(Ranking!AG24)*1000)</f>
        <v/>
      </c>
      <c r="AE9" s="38">
        <f>IF(Ranking!$C24="",0,N(Ranking!AH24)*1000)</f>
        <v/>
      </c>
      <c r="AF9" s="38">
        <f>IF(Ranking!$C24="",0,N(Ranking!AI24)*1000)</f>
        <v/>
      </c>
      <c r="AG9" s="38">
        <f>IF(Ranking!$C24="",0,N(Ranking!AJ24)*1000)</f>
        <v/>
      </c>
    </row>
    <row r="10">
      <c r="A10" s="37">
        <f>IF(Ranking!C25="","",Ranking!C25)</f>
        <v/>
      </c>
      <c r="B10" s="37">
        <f>IF(Ranking!C25="","",Ranking!F25)</f>
        <v/>
      </c>
      <c r="C10" s="38">
        <f>IF(Ranking!C25="",0,N(Ranking!D25)*1000)</f>
        <v/>
      </c>
      <c r="D10" s="38">
        <f>IF(Ranking!$C25="",0,N(Ranking!G25)*1000)</f>
        <v/>
      </c>
      <c r="E10" s="38">
        <f>IF(Ranking!$C25="",0,N(Ranking!H25)*1000)</f>
        <v/>
      </c>
      <c r="F10" s="38">
        <f>IF(Ranking!$C25="",0,N(Ranking!I25)*1000)</f>
        <v/>
      </c>
      <c r="G10" s="38">
        <f>IF(Ranking!$C25="",0,N(Ranking!J25)*1000)</f>
        <v/>
      </c>
      <c r="H10" s="38">
        <f>IF(Ranking!$C25="",0,N(Ranking!K25)*1000)</f>
        <v/>
      </c>
      <c r="I10" s="38">
        <f>IF(Ranking!$C25="",0,N(Ranking!L25)*1000)</f>
        <v/>
      </c>
      <c r="J10" s="38">
        <f>IF(Ranking!$C25="",0,N(Ranking!M25)*1000)</f>
        <v/>
      </c>
      <c r="K10" s="38">
        <f>IF(Ranking!$C25="",0,N(Ranking!N25)*1000)</f>
        <v/>
      </c>
      <c r="L10" s="38">
        <f>IF(Ranking!$C25="",0,N(Ranking!O25)*1000)</f>
        <v/>
      </c>
      <c r="M10" s="38">
        <f>IF(Ranking!$C25="",0,N(Ranking!P25)*1000)</f>
        <v/>
      </c>
      <c r="N10" s="38">
        <f>IF(Ranking!$C25="",0,N(Ranking!Q25)*1000)</f>
        <v/>
      </c>
      <c r="O10" s="38">
        <f>IF(Ranking!$C25="",0,N(Ranking!R25)*1000)</f>
        <v/>
      </c>
      <c r="P10" s="38">
        <f>IF(Ranking!$C25="",0,N(Ranking!S25)*1000)</f>
        <v/>
      </c>
      <c r="Q10" s="38">
        <f>IF(Ranking!$C25="",0,N(Ranking!T25)*1000)</f>
        <v/>
      </c>
      <c r="R10" s="38">
        <f>IF(Ranking!$C25="",0,N(Ranking!U25)*1000)</f>
        <v/>
      </c>
      <c r="S10" s="38">
        <f>IF(Ranking!$C25="",0,N(Ranking!V25)*1000)</f>
        <v/>
      </c>
      <c r="T10" s="38">
        <f>IF(Ranking!$C25="",0,N(Ranking!W25)*1000)</f>
        <v/>
      </c>
      <c r="U10" s="38">
        <f>IF(Ranking!$C25="",0,N(Ranking!X25)*1000)</f>
        <v/>
      </c>
      <c r="V10" s="38">
        <f>IF(Ranking!$C25="",0,N(Ranking!Y25)*1000)</f>
        <v/>
      </c>
      <c r="W10" s="38">
        <f>IF(Ranking!$C25="",0,N(Ranking!Z25)*1000)</f>
        <v/>
      </c>
      <c r="X10" s="38">
        <f>IF(Ranking!$C25="",0,N(Ranking!AA25)*1000)</f>
        <v/>
      </c>
      <c r="Y10" s="38">
        <f>IF(Ranking!$C25="",0,N(Ranking!AB25)*1000)</f>
        <v/>
      </c>
      <c r="Z10" s="38">
        <f>IF(Ranking!$C25="",0,N(Ranking!AC25)*1000)</f>
        <v/>
      </c>
      <c r="AA10" s="38">
        <f>IF(Ranking!$C25="",0,N(Ranking!AD25)*1000)</f>
        <v/>
      </c>
      <c r="AB10" s="38">
        <f>IF(Ranking!$C25="",0,N(Ranking!AE25)*1000)</f>
        <v/>
      </c>
      <c r="AC10" s="38">
        <f>IF(Ranking!$C25="",0,N(Ranking!AF25)*1000)</f>
        <v/>
      </c>
      <c r="AD10" s="38">
        <f>IF(Ranking!$C25="",0,N(Ranking!AG25)*1000)</f>
        <v/>
      </c>
      <c r="AE10" s="38">
        <f>IF(Ranking!$C25="",0,N(Ranking!AH25)*1000)</f>
        <v/>
      </c>
      <c r="AF10" s="38">
        <f>IF(Ranking!$C25="",0,N(Ranking!AI25)*1000)</f>
        <v/>
      </c>
      <c r="AG10" s="38">
        <f>IF(Ranking!$C25="",0,N(Ranking!AJ25)*1000)</f>
        <v/>
      </c>
    </row>
    <row r="11">
      <c r="A11" s="37">
        <f>IF(Ranking!C26="","",Ranking!C26)</f>
        <v/>
      </c>
      <c r="B11" s="37">
        <f>IF(Ranking!C26="","",Ranking!F26)</f>
        <v/>
      </c>
      <c r="C11" s="38">
        <f>IF(Ranking!C26="",0,N(Ranking!D26)*1000)</f>
        <v/>
      </c>
      <c r="D11" s="38">
        <f>IF(Ranking!$C26="",0,N(Ranking!G26)*1000)</f>
        <v/>
      </c>
      <c r="E11" s="38">
        <f>IF(Ranking!$C26="",0,N(Ranking!H26)*1000)</f>
        <v/>
      </c>
      <c r="F11" s="38">
        <f>IF(Ranking!$C26="",0,N(Ranking!I26)*1000)</f>
        <v/>
      </c>
      <c r="G11" s="38">
        <f>IF(Ranking!$C26="",0,N(Ranking!J26)*1000)</f>
        <v/>
      </c>
      <c r="H11" s="38">
        <f>IF(Ranking!$C26="",0,N(Ranking!K26)*1000)</f>
        <v/>
      </c>
      <c r="I11" s="38">
        <f>IF(Ranking!$C26="",0,N(Ranking!L26)*1000)</f>
        <v/>
      </c>
      <c r="J11" s="38">
        <f>IF(Ranking!$C26="",0,N(Ranking!M26)*1000)</f>
        <v/>
      </c>
      <c r="K11" s="38">
        <f>IF(Ranking!$C26="",0,N(Ranking!N26)*1000)</f>
        <v/>
      </c>
      <c r="L11" s="38">
        <f>IF(Ranking!$C26="",0,N(Ranking!O26)*1000)</f>
        <v/>
      </c>
      <c r="M11" s="38">
        <f>IF(Ranking!$C26="",0,N(Ranking!P26)*1000)</f>
        <v/>
      </c>
      <c r="N11" s="38">
        <f>IF(Ranking!$C26="",0,N(Ranking!Q26)*1000)</f>
        <v/>
      </c>
      <c r="O11" s="38">
        <f>IF(Ranking!$C26="",0,N(Ranking!R26)*1000)</f>
        <v/>
      </c>
      <c r="P11" s="38">
        <f>IF(Ranking!$C26="",0,N(Ranking!S26)*1000)</f>
        <v/>
      </c>
      <c r="Q11" s="38">
        <f>IF(Ranking!$C26="",0,N(Ranking!T26)*1000)</f>
        <v/>
      </c>
      <c r="R11" s="38">
        <f>IF(Ranking!$C26="",0,N(Ranking!U26)*1000)</f>
        <v/>
      </c>
      <c r="S11" s="38">
        <f>IF(Ranking!$C26="",0,N(Ranking!V26)*1000)</f>
        <v/>
      </c>
      <c r="T11" s="38">
        <f>IF(Ranking!$C26="",0,N(Ranking!W26)*1000)</f>
        <v/>
      </c>
      <c r="U11" s="38">
        <f>IF(Ranking!$C26="",0,N(Ranking!X26)*1000)</f>
        <v/>
      </c>
      <c r="V11" s="38">
        <f>IF(Ranking!$C26="",0,N(Ranking!Y26)*1000)</f>
        <v/>
      </c>
      <c r="W11" s="38">
        <f>IF(Ranking!$C26="",0,N(Ranking!Z26)*1000)</f>
        <v/>
      </c>
      <c r="X11" s="38">
        <f>IF(Ranking!$C26="",0,N(Ranking!AA26)*1000)</f>
        <v/>
      </c>
      <c r="Y11" s="38">
        <f>IF(Ranking!$C26="",0,N(Ranking!AB26)*1000)</f>
        <v/>
      </c>
      <c r="Z11" s="38">
        <f>IF(Ranking!$C26="",0,N(Ranking!AC26)*1000)</f>
        <v/>
      </c>
      <c r="AA11" s="38">
        <f>IF(Ranking!$C26="",0,N(Ranking!AD26)*1000)</f>
        <v/>
      </c>
      <c r="AB11" s="38">
        <f>IF(Ranking!$C26="",0,N(Ranking!AE26)*1000)</f>
        <v/>
      </c>
      <c r="AC11" s="38">
        <f>IF(Ranking!$C26="",0,N(Ranking!AF26)*1000)</f>
        <v/>
      </c>
      <c r="AD11" s="38">
        <f>IF(Ranking!$C26="",0,N(Ranking!AG26)*1000)</f>
        <v/>
      </c>
      <c r="AE11" s="38">
        <f>IF(Ranking!$C26="",0,N(Ranking!AH26)*1000)</f>
        <v/>
      </c>
      <c r="AF11" s="38">
        <f>IF(Ranking!$C26="",0,N(Ranking!AI26)*1000)</f>
        <v/>
      </c>
      <c r="AG11" s="38">
        <f>IF(Ranking!$C26="",0,N(Ranking!AJ26)*1000)</f>
        <v/>
      </c>
    </row>
    <row r="12">
      <c r="A12" s="37">
        <f>IF(Ranking!C27="","",Ranking!C27)</f>
        <v/>
      </c>
      <c r="B12" s="37">
        <f>IF(Ranking!C27="","",Ranking!F27)</f>
        <v/>
      </c>
      <c r="C12" s="38">
        <f>IF(Ranking!C27="",0,N(Ranking!D27)*1000)</f>
        <v/>
      </c>
      <c r="D12" s="38">
        <f>IF(Ranking!$C27="",0,N(Ranking!G27)*1000)</f>
        <v/>
      </c>
      <c r="E12" s="38">
        <f>IF(Ranking!$C27="",0,N(Ranking!H27)*1000)</f>
        <v/>
      </c>
      <c r="F12" s="38">
        <f>IF(Ranking!$C27="",0,N(Ranking!I27)*1000)</f>
        <v/>
      </c>
      <c r="G12" s="38">
        <f>IF(Ranking!$C27="",0,N(Ranking!J27)*1000)</f>
        <v/>
      </c>
      <c r="H12" s="38">
        <f>IF(Ranking!$C27="",0,N(Ranking!K27)*1000)</f>
        <v/>
      </c>
      <c r="I12" s="38">
        <f>IF(Ranking!$C27="",0,N(Ranking!L27)*1000)</f>
        <v/>
      </c>
      <c r="J12" s="38">
        <f>IF(Ranking!$C27="",0,N(Ranking!M27)*1000)</f>
        <v/>
      </c>
      <c r="K12" s="38">
        <f>IF(Ranking!$C27="",0,N(Ranking!N27)*1000)</f>
        <v/>
      </c>
      <c r="L12" s="38">
        <f>IF(Ranking!$C27="",0,N(Ranking!O27)*1000)</f>
        <v/>
      </c>
      <c r="M12" s="38">
        <f>IF(Ranking!$C27="",0,N(Ranking!P27)*1000)</f>
        <v/>
      </c>
      <c r="N12" s="38">
        <f>IF(Ranking!$C27="",0,N(Ranking!Q27)*1000)</f>
        <v/>
      </c>
      <c r="O12" s="38">
        <f>IF(Ranking!$C27="",0,N(Ranking!R27)*1000)</f>
        <v/>
      </c>
      <c r="P12" s="38">
        <f>IF(Ranking!$C27="",0,N(Ranking!S27)*1000)</f>
        <v/>
      </c>
      <c r="Q12" s="38">
        <f>IF(Ranking!$C27="",0,N(Ranking!T27)*1000)</f>
        <v/>
      </c>
      <c r="R12" s="38">
        <f>IF(Ranking!$C27="",0,N(Ranking!U27)*1000)</f>
        <v/>
      </c>
      <c r="S12" s="38">
        <f>IF(Ranking!$C27="",0,N(Ranking!V27)*1000)</f>
        <v/>
      </c>
      <c r="T12" s="38">
        <f>IF(Ranking!$C27="",0,N(Ranking!W27)*1000)</f>
        <v/>
      </c>
      <c r="U12" s="38">
        <f>IF(Ranking!$C27="",0,N(Ranking!X27)*1000)</f>
        <v/>
      </c>
      <c r="V12" s="38">
        <f>IF(Ranking!$C27="",0,N(Ranking!Y27)*1000)</f>
        <v/>
      </c>
      <c r="W12" s="38">
        <f>IF(Ranking!$C27="",0,N(Ranking!Z27)*1000)</f>
        <v/>
      </c>
      <c r="X12" s="38">
        <f>IF(Ranking!$C27="",0,N(Ranking!AA27)*1000)</f>
        <v/>
      </c>
      <c r="Y12" s="38">
        <f>IF(Ranking!$C27="",0,N(Ranking!AB27)*1000)</f>
        <v/>
      </c>
      <c r="Z12" s="38">
        <f>IF(Ranking!$C27="",0,N(Ranking!AC27)*1000)</f>
        <v/>
      </c>
      <c r="AA12" s="38">
        <f>IF(Ranking!$C27="",0,N(Ranking!AD27)*1000)</f>
        <v/>
      </c>
      <c r="AB12" s="38">
        <f>IF(Ranking!$C27="",0,N(Ranking!AE27)*1000)</f>
        <v/>
      </c>
      <c r="AC12" s="38">
        <f>IF(Ranking!$C27="",0,N(Ranking!AF27)*1000)</f>
        <v/>
      </c>
      <c r="AD12" s="38">
        <f>IF(Ranking!$C27="",0,N(Ranking!AG27)*1000)</f>
        <v/>
      </c>
      <c r="AE12" s="38">
        <f>IF(Ranking!$C27="",0,N(Ranking!AH27)*1000)</f>
        <v/>
      </c>
      <c r="AF12" s="38">
        <f>IF(Ranking!$C27="",0,N(Ranking!AI27)*1000)</f>
        <v/>
      </c>
      <c r="AG12" s="38">
        <f>IF(Ranking!$C27="",0,N(Ranking!AJ27)*1000)</f>
        <v/>
      </c>
    </row>
    <row r="13">
      <c r="A13" s="37">
        <f>IF(Ranking!C28="","",Ranking!C28)</f>
        <v/>
      </c>
      <c r="B13" s="37">
        <f>IF(Ranking!C28="","",Ranking!F28)</f>
        <v/>
      </c>
      <c r="C13" s="38">
        <f>IF(Ranking!C28="",0,N(Ranking!D28)*1000)</f>
        <v/>
      </c>
      <c r="D13" s="38">
        <f>IF(Ranking!$C28="",0,N(Ranking!G28)*1000)</f>
        <v/>
      </c>
      <c r="E13" s="38">
        <f>IF(Ranking!$C28="",0,N(Ranking!H28)*1000)</f>
        <v/>
      </c>
      <c r="F13" s="38">
        <f>IF(Ranking!$C28="",0,N(Ranking!I28)*1000)</f>
        <v/>
      </c>
      <c r="G13" s="38">
        <f>IF(Ranking!$C28="",0,N(Ranking!J28)*1000)</f>
        <v/>
      </c>
      <c r="H13" s="38">
        <f>IF(Ranking!$C28="",0,N(Ranking!K28)*1000)</f>
        <v/>
      </c>
      <c r="I13" s="38">
        <f>IF(Ranking!$C28="",0,N(Ranking!L28)*1000)</f>
        <v/>
      </c>
      <c r="J13" s="38">
        <f>IF(Ranking!$C28="",0,N(Ranking!M28)*1000)</f>
        <v/>
      </c>
      <c r="K13" s="38">
        <f>IF(Ranking!$C28="",0,N(Ranking!N28)*1000)</f>
        <v/>
      </c>
      <c r="L13" s="38">
        <f>IF(Ranking!$C28="",0,N(Ranking!O28)*1000)</f>
        <v/>
      </c>
      <c r="M13" s="38">
        <f>IF(Ranking!$C28="",0,N(Ranking!P28)*1000)</f>
        <v/>
      </c>
      <c r="N13" s="38">
        <f>IF(Ranking!$C28="",0,N(Ranking!Q28)*1000)</f>
        <v/>
      </c>
      <c r="O13" s="38">
        <f>IF(Ranking!$C28="",0,N(Ranking!R28)*1000)</f>
        <v/>
      </c>
      <c r="P13" s="38">
        <f>IF(Ranking!$C28="",0,N(Ranking!S28)*1000)</f>
        <v/>
      </c>
      <c r="Q13" s="38">
        <f>IF(Ranking!$C28="",0,N(Ranking!T28)*1000)</f>
        <v/>
      </c>
      <c r="R13" s="38">
        <f>IF(Ranking!$C28="",0,N(Ranking!U28)*1000)</f>
        <v/>
      </c>
      <c r="S13" s="38">
        <f>IF(Ranking!$C28="",0,N(Ranking!V28)*1000)</f>
        <v/>
      </c>
      <c r="T13" s="38">
        <f>IF(Ranking!$C28="",0,N(Ranking!W28)*1000)</f>
        <v/>
      </c>
      <c r="U13" s="38">
        <f>IF(Ranking!$C28="",0,N(Ranking!X28)*1000)</f>
        <v/>
      </c>
      <c r="V13" s="38">
        <f>IF(Ranking!$C28="",0,N(Ranking!Y28)*1000)</f>
        <v/>
      </c>
      <c r="W13" s="38">
        <f>IF(Ranking!$C28="",0,N(Ranking!Z28)*1000)</f>
        <v/>
      </c>
      <c r="X13" s="38">
        <f>IF(Ranking!$C28="",0,N(Ranking!AA28)*1000)</f>
        <v/>
      </c>
      <c r="Y13" s="38">
        <f>IF(Ranking!$C28="",0,N(Ranking!AB28)*1000)</f>
        <v/>
      </c>
      <c r="Z13" s="38">
        <f>IF(Ranking!$C28="",0,N(Ranking!AC28)*1000)</f>
        <v/>
      </c>
      <c r="AA13" s="38">
        <f>IF(Ranking!$C28="",0,N(Ranking!AD28)*1000)</f>
        <v/>
      </c>
      <c r="AB13" s="38">
        <f>IF(Ranking!$C28="",0,N(Ranking!AE28)*1000)</f>
        <v/>
      </c>
      <c r="AC13" s="38">
        <f>IF(Ranking!$C28="",0,N(Ranking!AF28)*1000)</f>
        <v/>
      </c>
      <c r="AD13" s="38">
        <f>IF(Ranking!$C28="",0,N(Ranking!AG28)*1000)</f>
        <v/>
      </c>
      <c r="AE13" s="38">
        <f>IF(Ranking!$C28="",0,N(Ranking!AH28)*1000)</f>
        <v/>
      </c>
      <c r="AF13" s="38">
        <f>IF(Ranking!$C28="",0,N(Ranking!AI28)*1000)</f>
        <v/>
      </c>
      <c r="AG13" s="38">
        <f>IF(Ranking!$C28="",0,N(Ranking!AJ28)*1000)</f>
        <v/>
      </c>
    </row>
    <row r="14">
      <c r="A14" s="37">
        <f>IF(Ranking!C29="","",Ranking!C29)</f>
        <v/>
      </c>
      <c r="B14" s="37">
        <f>IF(Ranking!C29="","",Ranking!F29)</f>
        <v/>
      </c>
      <c r="C14" s="38">
        <f>IF(Ranking!C29="",0,N(Ranking!D29)*1000)</f>
        <v/>
      </c>
      <c r="D14" s="38">
        <f>IF(Ranking!$C29="",0,N(Ranking!G29)*1000)</f>
        <v/>
      </c>
      <c r="E14" s="38">
        <f>IF(Ranking!$C29="",0,N(Ranking!H29)*1000)</f>
        <v/>
      </c>
      <c r="F14" s="38">
        <f>IF(Ranking!$C29="",0,N(Ranking!I29)*1000)</f>
        <v/>
      </c>
      <c r="G14" s="38">
        <f>IF(Ranking!$C29="",0,N(Ranking!J29)*1000)</f>
        <v/>
      </c>
      <c r="H14" s="38">
        <f>IF(Ranking!$C29="",0,N(Ranking!K29)*1000)</f>
        <v/>
      </c>
      <c r="I14" s="38">
        <f>IF(Ranking!$C29="",0,N(Ranking!L29)*1000)</f>
        <v/>
      </c>
      <c r="J14" s="38">
        <f>IF(Ranking!$C29="",0,N(Ranking!M29)*1000)</f>
        <v/>
      </c>
      <c r="K14" s="38">
        <f>IF(Ranking!$C29="",0,N(Ranking!N29)*1000)</f>
        <v/>
      </c>
      <c r="L14" s="38">
        <f>IF(Ranking!$C29="",0,N(Ranking!O29)*1000)</f>
        <v/>
      </c>
      <c r="M14" s="38">
        <f>IF(Ranking!$C29="",0,N(Ranking!P29)*1000)</f>
        <v/>
      </c>
      <c r="N14" s="38">
        <f>IF(Ranking!$C29="",0,N(Ranking!Q29)*1000)</f>
        <v/>
      </c>
      <c r="O14" s="38">
        <f>IF(Ranking!$C29="",0,N(Ranking!R29)*1000)</f>
        <v/>
      </c>
      <c r="P14" s="38">
        <f>IF(Ranking!$C29="",0,N(Ranking!S29)*1000)</f>
        <v/>
      </c>
      <c r="Q14" s="38">
        <f>IF(Ranking!$C29="",0,N(Ranking!T29)*1000)</f>
        <v/>
      </c>
      <c r="R14" s="38">
        <f>IF(Ranking!$C29="",0,N(Ranking!U29)*1000)</f>
        <v/>
      </c>
      <c r="S14" s="38">
        <f>IF(Ranking!$C29="",0,N(Ranking!V29)*1000)</f>
        <v/>
      </c>
      <c r="T14" s="38">
        <f>IF(Ranking!$C29="",0,N(Ranking!W29)*1000)</f>
        <v/>
      </c>
      <c r="U14" s="38">
        <f>IF(Ranking!$C29="",0,N(Ranking!X29)*1000)</f>
        <v/>
      </c>
      <c r="V14" s="38">
        <f>IF(Ranking!$C29="",0,N(Ranking!Y29)*1000)</f>
        <v/>
      </c>
      <c r="W14" s="38">
        <f>IF(Ranking!$C29="",0,N(Ranking!Z29)*1000)</f>
        <v/>
      </c>
      <c r="X14" s="38">
        <f>IF(Ranking!$C29="",0,N(Ranking!AA29)*1000)</f>
        <v/>
      </c>
      <c r="Y14" s="38">
        <f>IF(Ranking!$C29="",0,N(Ranking!AB29)*1000)</f>
        <v/>
      </c>
      <c r="Z14" s="38">
        <f>IF(Ranking!$C29="",0,N(Ranking!AC29)*1000)</f>
        <v/>
      </c>
      <c r="AA14" s="38">
        <f>IF(Ranking!$C29="",0,N(Ranking!AD29)*1000)</f>
        <v/>
      </c>
      <c r="AB14" s="38">
        <f>IF(Ranking!$C29="",0,N(Ranking!AE29)*1000)</f>
        <v/>
      </c>
      <c r="AC14" s="38">
        <f>IF(Ranking!$C29="",0,N(Ranking!AF29)*1000)</f>
        <v/>
      </c>
      <c r="AD14" s="38">
        <f>IF(Ranking!$C29="",0,N(Ranking!AG29)*1000)</f>
        <v/>
      </c>
      <c r="AE14" s="38">
        <f>IF(Ranking!$C29="",0,N(Ranking!AH29)*1000)</f>
        <v/>
      </c>
      <c r="AF14" s="38">
        <f>IF(Ranking!$C29="",0,N(Ranking!AI29)*1000)</f>
        <v/>
      </c>
      <c r="AG14" s="38">
        <f>IF(Ranking!$C29="",0,N(Ranking!AJ29)*1000)</f>
        <v/>
      </c>
    </row>
    <row r="15">
      <c r="A15" s="37">
        <f>IF(Ranking!C30="","",Ranking!C30)</f>
        <v/>
      </c>
      <c r="B15" s="37">
        <f>IF(Ranking!C30="","",Ranking!F30)</f>
        <v/>
      </c>
      <c r="C15" s="38">
        <f>IF(Ranking!C30="",0,N(Ranking!D30)*1000)</f>
        <v/>
      </c>
      <c r="D15" s="38">
        <f>IF(Ranking!$C30="",0,N(Ranking!G30)*1000)</f>
        <v/>
      </c>
      <c r="E15" s="38">
        <f>IF(Ranking!$C30="",0,N(Ranking!H30)*1000)</f>
        <v/>
      </c>
      <c r="F15" s="38">
        <f>IF(Ranking!$C30="",0,N(Ranking!I30)*1000)</f>
        <v/>
      </c>
      <c r="G15" s="38">
        <f>IF(Ranking!$C30="",0,N(Ranking!J30)*1000)</f>
        <v/>
      </c>
      <c r="H15" s="38">
        <f>IF(Ranking!$C30="",0,N(Ranking!K30)*1000)</f>
        <v/>
      </c>
      <c r="I15" s="38">
        <f>IF(Ranking!$C30="",0,N(Ranking!L30)*1000)</f>
        <v/>
      </c>
      <c r="J15" s="38">
        <f>IF(Ranking!$C30="",0,N(Ranking!M30)*1000)</f>
        <v/>
      </c>
      <c r="K15" s="38">
        <f>IF(Ranking!$C30="",0,N(Ranking!N30)*1000)</f>
        <v/>
      </c>
      <c r="L15" s="38">
        <f>IF(Ranking!$C30="",0,N(Ranking!O30)*1000)</f>
        <v/>
      </c>
      <c r="M15" s="38">
        <f>IF(Ranking!$C30="",0,N(Ranking!P30)*1000)</f>
        <v/>
      </c>
      <c r="N15" s="38">
        <f>IF(Ranking!$C30="",0,N(Ranking!Q30)*1000)</f>
        <v/>
      </c>
      <c r="O15" s="38">
        <f>IF(Ranking!$C30="",0,N(Ranking!R30)*1000)</f>
        <v/>
      </c>
      <c r="P15" s="38">
        <f>IF(Ranking!$C30="",0,N(Ranking!S30)*1000)</f>
        <v/>
      </c>
      <c r="Q15" s="38">
        <f>IF(Ranking!$C30="",0,N(Ranking!T30)*1000)</f>
        <v/>
      </c>
      <c r="R15" s="38">
        <f>IF(Ranking!$C30="",0,N(Ranking!U30)*1000)</f>
        <v/>
      </c>
      <c r="S15" s="38">
        <f>IF(Ranking!$C30="",0,N(Ranking!V30)*1000)</f>
        <v/>
      </c>
      <c r="T15" s="38">
        <f>IF(Ranking!$C30="",0,N(Ranking!W30)*1000)</f>
        <v/>
      </c>
      <c r="U15" s="38">
        <f>IF(Ranking!$C30="",0,N(Ranking!X30)*1000)</f>
        <v/>
      </c>
      <c r="V15" s="38">
        <f>IF(Ranking!$C30="",0,N(Ranking!Y30)*1000)</f>
        <v/>
      </c>
      <c r="W15" s="38">
        <f>IF(Ranking!$C30="",0,N(Ranking!Z30)*1000)</f>
        <v/>
      </c>
      <c r="X15" s="38">
        <f>IF(Ranking!$C30="",0,N(Ranking!AA30)*1000)</f>
        <v/>
      </c>
      <c r="Y15" s="38">
        <f>IF(Ranking!$C30="",0,N(Ranking!AB30)*1000)</f>
        <v/>
      </c>
      <c r="Z15" s="38">
        <f>IF(Ranking!$C30="",0,N(Ranking!AC30)*1000)</f>
        <v/>
      </c>
      <c r="AA15" s="38">
        <f>IF(Ranking!$C30="",0,N(Ranking!AD30)*1000)</f>
        <v/>
      </c>
      <c r="AB15" s="38">
        <f>IF(Ranking!$C30="",0,N(Ranking!AE30)*1000)</f>
        <v/>
      </c>
      <c r="AC15" s="38">
        <f>IF(Ranking!$C30="",0,N(Ranking!AF30)*1000)</f>
        <v/>
      </c>
      <c r="AD15" s="38">
        <f>IF(Ranking!$C30="",0,N(Ranking!AG30)*1000)</f>
        <v/>
      </c>
      <c r="AE15" s="38">
        <f>IF(Ranking!$C30="",0,N(Ranking!AH30)*1000)</f>
        <v/>
      </c>
      <c r="AF15" s="38">
        <f>IF(Ranking!$C30="",0,N(Ranking!AI30)*1000)</f>
        <v/>
      </c>
      <c r="AG15" s="38">
        <f>IF(Ranking!$C30="",0,N(Ranking!AJ30)*1000)</f>
        <v/>
      </c>
    </row>
    <row r="16">
      <c r="A16" s="37">
        <f>IF(Ranking!C31="","",Ranking!C31)</f>
        <v/>
      </c>
      <c r="B16" s="37">
        <f>IF(Ranking!C31="","",Ranking!F31)</f>
        <v/>
      </c>
      <c r="C16" s="38">
        <f>IF(Ranking!C31="",0,N(Ranking!D31)*1000)</f>
        <v/>
      </c>
      <c r="D16" s="38">
        <f>IF(Ranking!$C31="",0,N(Ranking!G31)*1000)</f>
        <v/>
      </c>
      <c r="E16" s="38">
        <f>IF(Ranking!$C31="",0,N(Ranking!H31)*1000)</f>
        <v/>
      </c>
      <c r="F16" s="38">
        <f>IF(Ranking!$C31="",0,N(Ranking!I31)*1000)</f>
        <v/>
      </c>
      <c r="G16" s="38">
        <f>IF(Ranking!$C31="",0,N(Ranking!J31)*1000)</f>
        <v/>
      </c>
      <c r="H16" s="38">
        <f>IF(Ranking!$C31="",0,N(Ranking!K31)*1000)</f>
        <v/>
      </c>
      <c r="I16" s="38">
        <f>IF(Ranking!$C31="",0,N(Ranking!L31)*1000)</f>
        <v/>
      </c>
      <c r="J16" s="38">
        <f>IF(Ranking!$C31="",0,N(Ranking!M31)*1000)</f>
        <v/>
      </c>
      <c r="K16" s="38">
        <f>IF(Ranking!$C31="",0,N(Ranking!N31)*1000)</f>
        <v/>
      </c>
      <c r="L16" s="38">
        <f>IF(Ranking!$C31="",0,N(Ranking!O31)*1000)</f>
        <v/>
      </c>
      <c r="M16" s="38">
        <f>IF(Ranking!$C31="",0,N(Ranking!P31)*1000)</f>
        <v/>
      </c>
      <c r="N16" s="38">
        <f>IF(Ranking!$C31="",0,N(Ranking!Q31)*1000)</f>
        <v/>
      </c>
      <c r="O16" s="38">
        <f>IF(Ranking!$C31="",0,N(Ranking!R31)*1000)</f>
        <v/>
      </c>
      <c r="P16" s="38">
        <f>IF(Ranking!$C31="",0,N(Ranking!S31)*1000)</f>
        <v/>
      </c>
      <c r="Q16" s="38">
        <f>IF(Ranking!$C31="",0,N(Ranking!T31)*1000)</f>
        <v/>
      </c>
      <c r="R16" s="38">
        <f>IF(Ranking!$C31="",0,N(Ranking!U31)*1000)</f>
        <v/>
      </c>
      <c r="S16" s="38">
        <f>IF(Ranking!$C31="",0,N(Ranking!V31)*1000)</f>
        <v/>
      </c>
      <c r="T16" s="38">
        <f>IF(Ranking!$C31="",0,N(Ranking!W31)*1000)</f>
        <v/>
      </c>
      <c r="U16" s="38">
        <f>IF(Ranking!$C31="",0,N(Ranking!X31)*1000)</f>
        <v/>
      </c>
      <c r="V16" s="38">
        <f>IF(Ranking!$C31="",0,N(Ranking!Y31)*1000)</f>
        <v/>
      </c>
      <c r="W16" s="38">
        <f>IF(Ranking!$C31="",0,N(Ranking!Z31)*1000)</f>
        <v/>
      </c>
      <c r="X16" s="38">
        <f>IF(Ranking!$C31="",0,N(Ranking!AA31)*1000)</f>
        <v/>
      </c>
      <c r="Y16" s="38">
        <f>IF(Ranking!$C31="",0,N(Ranking!AB31)*1000)</f>
        <v/>
      </c>
      <c r="Z16" s="38">
        <f>IF(Ranking!$C31="",0,N(Ranking!AC31)*1000)</f>
        <v/>
      </c>
      <c r="AA16" s="38">
        <f>IF(Ranking!$C31="",0,N(Ranking!AD31)*1000)</f>
        <v/>
      </c>
      <c r="AB16" s="38">
        <f>IF(Ranking!$C31="",0,N(Ranking!AE31)*1000)</f>
        <v/>
      </c>
      <c r="AC16" s="38">
        <f>IF(Ranking!$C31="",0,N(Ranking!AF31)*1000)</f>
        <v/>
      </c>
      <c r="AD16" s="38">
        <f>IF(Ranking!$C31="",0,N(Ranking!AG31)*1000)</f>
        <v/>
      </c>
      <c r="AE16" s="38">
        <f>IF(Ranking!$C31="",0,N(Ranking!AH31)*1000)</f>
        <v/>
      </c>
      <c r="AF16" s="38">
        <f>IF(Ranking!$C31="",0,N(Ranking!AI31)*1000)</f>
        <v/>
      </c>
      <c r="AG16" s="38">
        <f>IF(Ranking!$C31="",0,N(Ranking!AJ31)*1000)</f>
        <v/>
      </c>
    </row>
    <row r="17">
      <c r="A17" s="37">
        <f>IF(Ranking!C32="","",Ranking!C32)</f>
        <v/>
      </c>
      <c r="B17" s="37">
        <f>IF(Ranking!C32="","",Ranking!F32)</f>
        <v/>
      </c>
      <c r="C17" s="38">
        <f>IF(Ranking!C32="",0,N(Ranking!D32)*1000)</f>
        <v/>
      </c>
      <c r="D17" s="38">
        <f>IF(Ranking!$C32="",0,N(Ranking!G32)*1000)</f>
        <v/>
      </c>
      <c r="E17" s="38">
        <f>IF(Ranking!$C32="",0,N(Ranking!H32)*1000)</f>
        <v/>
      </c>
      <c r="F17" s="38">
        <f>IF(Ranking!$C32="",0,N(Ranking!I32)*1000)</f>
        <v/>
      </c>
      <c r="G17" s="38">
        <f>IF(Ranking!$C32="",0,N(Ranking!J32)*1000)</f>
        <v/>
      </c>
      <c r="H17" s="38">
        <f>IF(Ranking!$C32="",0,N(Ranking!K32)*1000)</f>
        <v/>
      </c>
      <c r="I17" s="38">
        <f>IF(Ranking!$C32="",0,N(Ranking!L32)*1000)</f>
        <v/>
      </c>
      <c r="J17" s="38">
        <f>IF(Ranking!$C32="",0,N(Ranking!M32)*1000)</f>
        <v/>
      </c>
      <c r="K17" s="38">
        <f>IF(Ranking!$C32="",0,N(Ranking!N32)*1000)</f>
        <v/>
      </c>
      <c r="L17" s="38">
        <f>IF(Ranking!$C32="",0,N(Ranking!O32)*1000)</f>
        <v/>
      </c>
      <c r="M17" s="38">
        <f>IF(Ranking!$C32="",0,N(Ranking!P32)*1000)</f>
        <v/>
      </c>
      <c r="N17" s="38">
        <f>IF(Ranking!$C32="",0,N(Ranking!Q32)*1000)</f>
        <v/>
      </c>
      <c r="O17" s="38">
        <f>IF(Ranking!$C32="",0,N(Ranking!R32)*1000)</f>
        <v/>
      </c>
      <c r="P17" s="38">
        <f>IF(Ranking!$C32="",0,N(Ranking!S32)*1000)</f>
        <v/>
      </c>
      <c r="Q17" s="38">
        <f>IF(Ranking!$C32="",0,N(Ranking!T32)*1000)</f>
        <v/>
      </c>
      <c r="R17" s="38">
        <f>IF(Ranking!$C32="",0,N(Ranking!U32)*1000)</f>
        <v/>
      </c>
      <c r="S17" s="38">
        <f>IF(Ranking!$C32="",0,N(Ranking!V32)*1000)</f>
        <v/>
      </c>
      <c r="T17" s="38">
        <f>IF(Ranking!$C32="",0,N(Ranking!W32)*1000)</f>
        <v/>
      </c>
      <c r="U17" s="38">
        <f>IF(Ranking!$C32="",0,N(Ranking!X32)*1000)</f>
        <v/>
      </c>
      <c r="V17" s="38">
        <f>IF(Ranking!$C32="",0,N(Ranking!Y32)*1000)</f>
        <v/>
      </c>
      <c r="W17" s="38">
        <f>IF(Ranking!$C32="",0,N(Ranking!Z32)*1000)</f>
        <v/>
      </c>
      <c r="X17" s="38">
        <f>IF(Ranking!$C32="",0,N(Ranking!AA32)*1000)</f>
        <v/>
      </c>
      <c r="Y17" s="38">
        <f>IF(Ranking!$C32="",0,N(Ranking!AB32)*1000)</f>
        <v/>
      </c>
      <c r="Z17" s="38">
        <f>IF(Ranking!$C32="",0,N(Ranking!AC32)*1000)</f>
        <v/>
      </c>
      <c r="AA17" s="38">
        <f>IF(Ranking!$C32="",0,N(Ranking!AD32)*1000)</f>
        <v/>
      </c>
      <c r="AB17" s="38">
        <f>IF(Ranking!$C32="",0,N(Ranking!AE32)*1000)</f>
        <v/>
      </c>
      <c r="AC17" s="38">
        <f>IF(Ranking!$C32="",0,N(Ranking!AF32)*1000)</f>
        <v/>
      </c>
      <c r="AD17" s="38">
        <f>IF(Ranking!$C32="",0,N(Ranking!AG32)*1000)</f>
        <v/>
      </c>
      <c r="AE17" s="38">
        <f>IF(Ranking!$C32="",0,N(Ranking!AH32)*1000)</f>
        <v/>
      </c>
      <c r="AF17" s="38">
        <f>IF(Ranking!$C32="",0,N(Ranking!AI32)*1000)</f>
        <v/>
      </c>
      <c r="AG17" s="38">
        <f>IF(Ranking!$C32="",0,N(Ranking!AJ32)*1000)</f>
        <v/>
      </c>
    </row>
    <row r="18">
      <c r="A18" s="37">
        <f>IF(Ranking!C33="","",Ranking!C33)</f>
        <v/>
      </c>
      <c r="B18" s="37">
        <f>IF(Ranking!C33="","",Ranking!F33)</f>
        <v/>
      </c>
      <c r="C18" s="38">
        <f>IF(Ranking!C33="",0,N(Ranking!D33)*1000)</f>
        <v/>
      </c>
      <c r="D18" s="38">
        <f>IF(Ranking!$C33="",0,N(Ranking!G33)*1000)</f>
        <v/>
      </c>
      <c r="E18" s="38">
        <f>IF(Ranking!$C33="",0,N(Ranking!H33)*1000)</f>
        <v/>
      </c>
      <c r="F18" s="38">
        <f>IF(Ranking!$C33="",0,N(Ranking!I33)*1000)</f>
        <v/>
      </c>
      <c r="G18" s="38">
        <f>IF(Ranking!$C33="",0,N(Ranking!J33)*1000)</f>
        <v/>
      </c>
      <c r="H18" s="38">
        <f>IF(Ranking!$C33="",0,N(Ranking!K33)*1000)</f>
        <v/>
      </c>
      <c r="I18" s="38">
        <f>IF(Ranking!$C33="",0,N(Ranking!L33)*1000)</f>
        <v/>
      </c>
      <c r="J18" s="38">
        <f>IF(Ranking!$C33="",0,N(Ranking!M33)*1000)</f>
        <v/>
      </c>
      <c r="K18" s="38">
        <f>IF(Ranking!$C33="",0,N(Ranking!N33)*1000)</f>
        <v/>
      </c>
      <c r="L18" s="38">
        <f>IF(Ranking!$C33="",0,N(Ranking!O33)*1000)</f>
        <v/>
      </c>
      <c r="M18" s="38">
        <f>IF(Ranking!$C33="",0,N(Ranking!P33)*1000)</f>
        <v/>
      </c>
      <c r="N18" s="38">
        <f>IF(Ranking!$C33="",0,N(Ranking!Q33)*1000)</f>
        <v/>
      </c>
      <c r="O18" s="38">
        <f>IF(Ranking!$C33="",0,N(Ranking!R33)*1000)</f>
        <v/>
      </c>
      <c r="P18" s="38">
        <f>IF(Ranking!$C33="",0,N(Ranking!S33)*1000)</f>
        <v/>
      </c>
      <c r="Q18" s="38">
        <f>IF(Ranking!$C33="",0,N(Ranking!T33)*1000)</f>
        <v/>
      </c>
      <c r="R18" s="38">
        <f>IF(Ranking!$C33="",0,N(Ranking!U33)*1000)</f>
        <v/>
      </c>
      <c r="S18" s="38">
        <f>IF(Ranking!$C33="",0,N(Ranking!V33)*1000)</f>
        <v/>
      </c>
      <c r="T18" s="38">
        <f>IF(Ranking!$C33="",0,N(Ranking!W33)*1000)</f>
        <v/>
      </c>
      <c r="U18" s="38">
        <f>IF(Ranking!$C33="",0,N(Ranking!X33)*1000)</f>
        <v/>
      </c>
      <c r="V18" s="38">
        <f>IF(Ranking!$C33="",0,N(Ranking!Y33)*1000)</f>
        <v/>
      </c>
      <c r="W18" s="38">
        <f>IF(Ranking!$C33="",0,N(Ranking!Z33)*1000)</f>
        <v/>
      </c>
      <c r="X18" s="38">
        <f>IF(Ranking!$C33="",0,N(Ranking!AA33)*1000)</f>
        <v/>
      </c>
      <c r="Y18" s="38">
        <f>IF(Ranking!$C33="",0,N(Ranking!AB33)*1000)</f>
        <v/>
      </c>
      <c r="Z18" s="38">
        <f>IF(Ranking!$C33="",0,N(Ranking!AC33)*1000)</f>
        <v/>
      </c>
      <c r="AA18" s="38">
        <f>IF(Ranking!$C33="",0,N(Ranking!AD33)*1000)</f>
        <v/>
      </c>
      <c r="AB18" s="38">
        <f>IF(Ranking!$C33="",0,N(Ranking!AE33)*1000)</f>
        <v/>
      </c>
      <c r="AC18" s="38">
        <f>IF(Ranking!$C33="",0,N(Ranking!AF33)*1000)</f>
        <v/>
      </c>
      <c r="AD18" s="38">
        <f>IF(Ranking!$C33="",0,N(Ranking!AG33)*1000)</f>
        <v/>
      </c>
      <c r="AE18" s="38">
        <f>IF(Ranking!$C33="",0,N(Ranking!AH33)*1000)</f>
        <v/>
      </c>
      <c r="AF18" s="38">
        <f>IF(Ranking!$C33="",0,N(Ranking!AI33)*1000)</f>
        <v/>
      </c>
      <c r="AG18" s="38">
        <f>IF(Ranking!$C33="",0,N(Ranking!AJ33)*1000)</f>
        <v/>
      </c>
    </row>
    <row r="19">
      <c r="A19" s="37">
        <f>IF(Ranking!C34="","",Ranking!C34)</f>
        <v/>
      </c>
      <c r="B19" s="37">
        <f>IF(Ranking!C34="","",Ranking!F34)</f>
        <v/>
      </c>
      <c r="C19" s="38">
        <f>IF(Ranking!C34="",0,N(Ranking!D34)*1000)</f>
        <v/>
      </c>
      <c r="D19" s="38">
        <f>IF(Ranking!$C34="",0,N(Ranking!G34)*1000)</f>
        <v/>
      </c>
      <c r="E19" s="38">
        <f>IF(Ranking!$C34="",0,N(Ranking!H34)*1000)</f>
        <v/>
      </c>
      <c r="F19" s="38">
        <f>IF(Ranking!$C34="",0,N(Ranking!I34)*1000)</f>
        <v/>
      </c>
      <c r="G19" s="38">
        <f>IF(Ranking!$C34="",0,N(Ranking!J34)*1000)</f>
        <v/>
      </c>
      <c r="H19" s="38">
        <f>IF(Ranking!$C34="",0,N(Ranking!K34)*1000)</f>
        <v/>
      </c>
      <c r="I19" s="38">
        <f>IF(Ranking!$C34="",0,N(Ranking!L34)*1000)</f>
        <v/>
      </c>
      <c r="J19" s="38">
        <f>IF(Ranking!$C34="",0,N(Ranking!M34)*1000)</f>
        <v/>
      </c>
      <c r="K19" s="38">
        <f>IF(Ranking!$C34="",0,N(Ranking!N34)*1000)</f>
        <v/>
      </c>
      <c r="L19" s="38">
        <f>IF(Ranking!$C34="",0,N(Ranking!O34)*1000)</f>
        <v/>
      </c>
      <c r="M19" s="38">
        <f>IF(Ranking!$C34="",0,N(Ranking!P34)*1000)</f>
        <v/>
      </c>
      <c r="N19" s="38">
        <f>IF(Ranking!$C34="",0,N(Ranking!Q34)*1000)</f>
        <v/>
      </c>
      <c r="O19" s="38">
        <f>IF(Ranking!$C34="",0,N(Ranking!R34)*1000)</f>
        <v/>
      </c>
      <c r="P19" s="38">
        <f>IF(Ranking!$C34="",0,N(Ranking!S34)*1000)</f>
        <v/>
      </c>
      <c r="Q19" s="38">
        <f>IF(Ranking!$C34="",0,N(Ranking!T34)*1000)</f>
        <v/>
      </c>
      <c r="R19" s="38">
        <f>IF(Ranking!$C34="",0,N(Ranking!U34)*1000)</f>
        <v/>
      </c>
      <c r="S19" s="38">
        <f>IF(Ranking!$C34="",0,N(Ranking!V34)*1000)</f>
        <v/>
      </c>
      <c r="T19" s="38">
        <f>IF(Ranking!$C34="",0,N(Ranking!W34)*1000)</f>
        <v/>
      </c>
      <c r="U19" s="38">
        <f>IF(Ranking!$C34="",0,N(Ranking!X34)*1000)</f>
        <v/>
      </c>
      <c r="V19" s="38">
        <f>IF(Ranking!$C34="",0,N(Ranking!Y34)*1000)</f>
        <v/>
      </c>
      <c r="W19" s="38">
        <f>IF(Ranking!$C34="",0,N(Ranking!Z34)*1000)</f>
        <v/>
      </c>
      <c r="X19" s="38">
        <f>IF(Ranking!$C34="",0,N(Ranking!AA34)*1000)</f>
        <v/>
      </c>
      <c r="Y19" s="38">
        <f>IF(Ranking!$C34="",0,N(Ranking!AB34)*1000)</f>
        <v/>
      </c>
      <c r="Z19" s="38">
        <f>IF(Ranking!$C34="",0,N(Ranking!AC34)*1000)</f>
        <v/>
      </c>
      <c r="AA19" s="38">
        <f>IF(Ranking!$C34="",0,N(Ranking!AD34)*1000)</f>
        <v/>
      </c>
      <c r="AB19" s="38">
        <f>IF(Ranking!$C34="",0,N(Ranking!AE34)*1000)</f>
        <v/>
      </c>
      <c r="AC19" s="38">
        <f>IF(Ranking!$C34="",0,N(Ranking!AF34)*1000)</f>
        <v/>
      </c>
      <c r="AD19" s="38">
        <f>IF(Ranking!$C34="",0,N(Ranking!AG34)*1000)</f>
        <v/>
      </c>
      <c r="AE19" s="38">
        <f>IF(Ranking!$C34="",0,N(Ranking!AH34)*1000)</f>
        <v/>
      </c>
      <c r="AF19" s="38">
        <f>IF(Ranking!$C34="",0,N(Ranking!AI34)*1000)</f>
        <v/>
      </c>
      <c r="AG19" s="38">
        <f>IF(Ranking!$C34="",0,N(Ranking!AJ34)*1000)</f>
        <v/>
      </c>
    </row>
    <row r="20">
      <c r="A20" s="37">
        <f>IF(Ranking!C35="","",Ranking!C35)</f>
        <v/>
      </c>
      <c r="B20" s="37">
        <f>IF(Ranking!C35="","",Ranking!F35)</f>
        <v/>
      </c>
      <c r="C20" s="38">
        <f>IF(Ranking!C35="",0,N(Ranking!D35)*1000)</f>
        <v/>
      </c>
      <c r="D20" s="38">
        <f>IF(Ranking!$C35="",0,N(Ranking!G35)*1000)</f>
        <v/>
      </c>
      <c r="E20" s="38">
        <f>IF(Ranking!$C35="",0,N(Ranking!H35)*1000)</f>
        <v/>
      </c>
      <c r="F20" s="38">
        <f>IF(Ranking!$C35="",0,N(Ranking!I35)*1000)</f>
        <v/>
      </c>
      <c r="G20" s="38">
        <f>IF(Ranking!$C35="",0,N(Ranking!J35)*1000)</f>
        <v/>
      </c>
      <c r="H20" s="38">
        <f>IF(Ranking!$C35="",0,N(Ranking!K35)*1000)</f>
        <v/>
      </c>
      <c r="I20" s="38">
        <f>IF(Ranking!$C35="",0,N(Ranking!L35)*1000)</f>
        <v/>
      </c>
      <c r="J20" s="38">
        <f>IF(Ranking!$C35="",0,N(Ranking!M35)*1000)</f>
        <v/>
      </c>
      <c r="K20" s="38">
        <f>IF(Ranking!$C35="",0,N(Ranking!N35)*1000)</f>
        <v/>
      </c>
      <c r="L20" s="38">
        <f>IF(Ranking!$C35="",0,N(Ranking!O35)*1000)</f>
        <v/>
      </c>
      <c r="M20" s="38">
        <f>IF(Ranking!$C35="",0,N(Ranking!P35)*1000)</f>
        <v/>
      </c>
      <c r="N20" s="38">
        <f>IF(Ranking!$C35="",0,N(Ranking!Q35)*1000)</f>
        <v/>
      </c>
      <c r="O20" s="38">
        <f>IF(Ranking!$C35="",0,N(Ranking!R35)*1000)</f>
        <v/>
      </c>
      <c r="P20" s="38">
        <f>IF(Ranking!$C35="",0,N(Ranking!S35)*1000)</f>
        <v/>
      </c>
      <c r="Q20" s="38">
        <f>IF(Ranking!$C35="",0,N(Ranking!T35)*1000)</f>
        <v/>
      </c>
      <c r="R20" s="38">
        <f>IF(Ranking!$C35="",0,N(Ranking!U35)*1000)</f>
        <v/>
      </c>
      <c r="S20" s="38">
        <f>IF(Ranking!$C35="",0,N(Ranking!V35)*1000)</f>
        <v/>
      </c>
      <c r="T20" s="38">
        <f>IF(Ranking!$C35="",0,N(Ranking!W35)*1000)</f>
        <v/>
      </c>
      <c r="U20" s="38">
        <f>IF(Ranking!$C35="",0,N(Ranking!X35)*1000)</f>
        <v/>
      </c>
      <c r="V20" s="38">
        <f>IF(Ranking!$C35="",0,N(Ranking!Y35)*1000)</f>
        <v/>
      </c>
      <c r="W20" s="38">
        <f>IF(Ranking!$C35="",0,N(Ranking!Z35)*1000)</f>
        <v/>
      </c>
      <c r="X20" s="38">
        <f>IF(Ranking!$C35="",0,N(Ranking!AA35)*1000)</f>
        <v/>
      </c>
      <c r="Y20" s="38">
        <f>IF(Ranking!$C35="",0,N(Ranking!AB35)*1000)</f>
        <v/>
      </c>
      <c r="Z20" s="38">
        <f>IF(Ranking!$C35="",0,N(Ranking!AC35)*1000)</f>
        <v/>
      </c>
      <c r="AA20" s="38">
        <f>IF(Ranking!$C35="",0,N(Ranking!AD35)*1000)</f>
        <v/>
      </c>
      <c r="AB20" s="38">
        <f>IF(Ranking!$C35="",0,N(Ranking!AE35)*1000)</f>
        <v/>
      </c>
      <c r="AC20" s="38">
        <f>IF(Ranking!$C35="",0,N(Ranking!AF35)*1000)</f>
        <v/>
      </c>
      <c r="AD20" s="38">
        <f>IF(Ranking!$C35="",0,N(Ranking!AG35)*1000)</f>
        <v/>
      </c>
      <c r="AE20" s="38">
        <f>IF(Ranking!$C35="",0,N(Ranking!AH35)*1000)</f>
        <v/>
      </c>
      <c r="AF20" s="38">
        <f>IF(Ranking!$C35="",0,N(Ranking!AI35)*1000)</f>
        <v/>
      </c>
      <c r="AG20" s="38">
        <f>IF(Ranking!$C35="",0,N(Ranking!AJ35)*1000)</f>
        <v/>
      </c>
    </row>
    <row r="21">
      <c r="A21" s="37">
        <f>IF(Ranking!C36="","",Ranking!C36)</f>
        <v/>
      </c>
      <c r="B21" s="37">
        <f>IF(Ranking!C36="","",Ranking!F36)</f>
        <v/>
      </c>
      <c r="C21" s="38">
        <f>IF(Ranking!C36="",0,N(Ranking!D36)*1000)</f>
        <v/>
      </c>
      <c r="D21" s="38">
        <f>IF(Ranking!$C36="",0,N(Ranking!G36)*1000)</f>
        <v/>
      </c>
      <c r="E21" s="38">
        <f>IF(Ranking!$C36="",0,N(Ranking!H36)*1000)</f>
        <v/>
      </c>
      <c r="F21" s="38">
        <f>IF(Ranking!$C36="",0,N(Ranking!I36)*1000)</f>
        <v/>
      </c>
      <c r="G21" s="38">
        <f>IF(Ranking!$C36="",0,N(Ranking!J36)*1000)</f>
        <v/>
      </c>
      <c r="H21" s="38">
        <f>IF(Ranking!$C36="",0,N(Ranking!K36)*1000)</f>
        <v/>
      </c>
      <c r="I21" s="38">
        <f>IF(Ranking!$C36="",0,N(Ranking!L36)*1000)</f>
        <v/>
      </c>
      <c r="J21" s="38">
        <f>IF(Ranking!$C36="",0,N(Ranking!M36)*1000)</f>
        <v/>
      </c>
      <c r="K21" s="38">
        <f>IF(Ranking!$C36="",0,N(Ranking!N36)*1000)</f>
        <v/>
      </c>
      <c r="L21" s="38">
        <f>IF(Ranking!$C36="",0,N(Ranking!O36)*1000)</f>
        <v/>
      </c>
      <c r="M21" s="38">
        <f>IF(Ranking!$C36="",0,N(Ranking!P36)*1000)</f>
        <v/>
      </c>
      <c r="N21" s="38">
        <f>IF(Ranking!$C36="",0,N(Ranking!Q36)*1000)</f>
        <v/>
      </c>
      <c r="O21" s="38">
        <f>IF(Ranking!$C36="",0,N(Ranking!R36)*1000)</f>
        <v/>
      </c>
      <c r="P21" s="38">
        <f>IF(Ranking!$C36="",0,N(Ranking!S36)*1000)</f>
        <v/>
      </c>
      <c r="Q21" s="38">
        <f>IF(Ranking!$C36="",0,N(Ranking!T36)*1000)</f>
        <v/>
      </c>
      <c r="R21" s="38">
        <f>IF(Ranking!$C36="",0,N(Ranking!U36)*1000)</f>
        <v/>
      </c>
      <c r="S21" s="38">
        <f>IF(Ranking!$C36="",0,N(Ranking!V36)*1000)</f>
        <v/>
      </c>
      <c r="T21" s="38">
        <f>IF(Ranking!$C36="",0,N(Ranking!W36)*1000)</f>
        <v/>
      </c>
      <c r="U21" s="38">
        <f>IF(Ranking!$C36="",0,N(Ranking!X36)*1000)</f>
        <v/>
      </c>
      <c r="V21" s="38">
        <f>IF(Ranking!$C36="",0,N(Ranking!Y36)*1000)</f>
        <v/>
      </c>
      <c r="W21" s="38">
        <f>IF(Ranking!$C36="",0,N(Ranking!Z36)*1000)</f>
        <v/>
      </c>
      <c r="X21" s="38">
        <f>IF(Ranking!$C36="",0,N(Ranking!AA36)*1000)</f>
        <v/>
      </c>
      <c r="Y21" s="38">
        <f>IF(Ranking!$C36="",0,N(Ranking!AB36)*1000)</f>
        <v/>
      </c>
      <c r="Z21" s="38">
        <f>IF(Ranking!$C36="",0,N(Ranking!AC36)*1000)</f>
        <v/>
      </c>
      <c r="AA21" s="38">
        <f>IF(Ranking!$C36="",0,N(Ranking!AD36)*1000)</f>
        <v/>
      </c>
      <c r="AB21" s="38">
        <f>IF(Ranking!$C36="",0,N(Ranking!AE36)*1000)</f>
        <v/>
      </c>
      <c r="AC21" s="38">
        <f>IF(Ranking!$C36="",0,N(Ranking!AF36)*1000)</f>
        <v/>
      </c>
      <c r="AD21" s="38">
        <f>IF(Ranking!$C36="",0,N(Ranking!AG36)*1000)</f>
        <v/>
      </c>
      <c r="AE21" s="38">
        <f>IF(Ranking!$C36="",0,N(Ranking!AH36)*1000)</f>
        <v/>
      </c>
      <c r="AF21" s="38">
        <f>IF(Ranking!$C36="",0,N(Ranking!AI36)*1000)</f>
        <v/>
      </c>
      <c r="AG21" s="38">
        <f>IF(Ranking!$C36="",0,N(Ranking!AJ36)*1000)</f>
        <v/>
      </c>
    </row>
    <row r="22">
      <c r="A22" s="37">
        <f>IF(Ranking!C37="","",Ranking!C37)</f>
        <v/>
      </c>
      <c r="B22" s="37">
        <f>IF(Ranking!C37="","",Ranking!F37)</f>
        <v/>
      </c>
      <c r="C22" s="38">
        <f>IF(Ranking!C37="",0,N(Ranking!D37)*1000)</f>
        <v/>
      </c>
      <c r="D22" s="38">
        <f>IF(Ranking!$C37="",0,N(Ranking!G37)*1000)</f>
        <v/>
      </c>
      <c r="E22" s="38">
        <f>IF(Ranking!$C37="",0,N(Ranking!H37)*1000)</f>
        <v/>
      </c>
      <c r="F22" s="38">
        <f>IF(Ranking!$C37="",0,N(Ranking!I37)*1000)</f>
        <v/>
      </c>
      <c r="G22" s="38">
        <f>IF(Ranking!$C37="",0,N(Ranking!J37)*1000)</f>
        <v/>
      </c>
      <c r="H22" s="38">
        <f>IF(Ranking!$C37="",0,N(Ranking!K37)*1000)</f>
        <v/>
      </c>
      <c r="I22" s="38">
        <f>IF(Ranking!$C37="",0,N(Ranking!L37)*1000)</f>
        <v/>
      </c>
      <c r="J22" s="38">
        <f>IF(Ranking!$C37="",0,N(Ranking!M37)*1000)</f>
        <v/>
      </c>
      <c r="K22" s="38">
        <f>IF(Ranking!$C37="",0,N(Ranking!N37)*1000)</f>
        <v/>
      </c>
      <c r="L22" s="38">
        <f>IF(Ranking!$C37="",0,N(Ranking!O37)*1000)</f>
        <v/>
      </c>
      <c r="M22" s="38">
        <f>IF(Ranking!$C37="",0,N(Ranking!P37)*1000)</f>
        <v/>
      </c>
      <c r="N22" s="38">
        <f>IF(Ranking!$C37="",0,N(Ranking!Q37)*1000)</f>
        <v/>
      </c>
      <c r="O22" s="38">
        <f>IF(Ranking!$C37="",0,N(Ranking!R37)*1000)</f>
        <v/>
      </c>
      <c r="P22" s="38">
        <f>IF(Ranking!$C37="",0,N(Ranking!S37)*1000)</f>
        <v/>
      </c>
      <c r="Q22" s="38">
        <f>IF(Ranking!$C37="",0,N(Ranking!T37)*1000)</f>
        <v/>
      </c>
      <c r="R22" s="38">
        <f>IF(Ranking!$C37="",0,N(Ranking!U37)*1000)</f>
        <v/>
      </c>
      <c r="S22" s="38">
        <f>IF(Ranking!$C37="",0,N(Ranking!V37)*1000)</f>
        <v/>
      </c>
      <c r="T22" s="38">
        <f>IF(Ranking!$C37="",0,N(Ranking!W37)*1000)</f>
        <v/>
      </c>
      <c r="U22" s="38">
        <f>IF(Ranking!$C37="",0,N(Ranking!X37)*1000)</f>
        <v/>
      </c>
      <c r="V22" s="38">
        <f>IF(Ranking!$C37="",0,N(Ranking!Y37)*1000)</f>
        <v/>
      </c>
      <c r="W22" s="38">
        <f>IF(Ranking!$C37="",0,N(Ranking!Z37)*1000)</f>
        <v/>
      </c>
      <c r="X22" s="38">
        <f>IF(Ranking!$C37="",0,N(Ranking!AA37)*1000)</f>
        <v/>
      </c>
      <c r="Y22" s="38">
        <f>IF(Ranking!$C37="",0,N(Ranking!AB37)*1000)</f>
        <v/>
      </c>
      <c r="Z22" s="38">
        <f>IF(Ranking!$C37="",0,N(Ranking!AC37)*1000)</f>
        <v/>
      </c>
      <c r="AA22" s="38">
        <f>IF(Ranking!$C37="",0,N(Ranking!AD37)*1000)</f>
        <v/>
      </c>
      <c r="AB22" s="38">
        <f>IF(Ranking!$C37="",0,N(Ranking!AE37)*1000)</f>
        <v/>
      </c>
      <c r="AC22" s="38">
        <f>IF(Ranking!$C37="",0,N(Ranking!AF37)*1000)</f>
        <v/>
      </c>
      <c r="AD22" s="38">
        <f>IF(Ranking!$C37="",0,N(Ranking!AG37)*1000)</f>
        <v/>
      </c>
      <c r="AE22" s="38">
        <f>IF(Ranking!$C37="",0,N(Ranking!AH37)*1000)</f>
        <v/>
      </c>
      <c r="AF22" s="38">
        <f>IF(Ranking!$C37="",0,N(Ranking!AI37)*1000)</f>
        <v/>
      </c>
      <c r="AG22" s="38">
        <f>IF(Ranking!$C37="",0,N(Ranking!AJ37)*1000)</f>
        <v/>
      </c>
    </row>
    <row r="23">
      <c r="A23" s="37">
        <f>IF(Ranking!C38="","",Ranking!C38)</f>
        <v/>
      </c>
      <c r="B23" s="37">
        <f>IF(Ranking!C38="","",Ranking!F38)</f>
        <v/>
      </c>
      <c r="C23" s="38">
        <f>IF(Ranking!C38="",0,N(Ranking!D38)*1000)</f>
        <v/>
      </c>
      <c r="D23" s="38">
        <f>IF(Ranking!$C38="",0,N(Ranking!G38)*1000)</f>
        <v/>
      </c>
      <c r="E23" s="38">
        <f>IF(Ranking!$C38="",0,N(Ranking!H38)*1000)</f>
        <v/>
      </c>
      <c r="F23" s="38">
        <f>IF(Ranking!$C38="",0,N(Ranking!I38)*1000)</f>
        <v/>
      </c>
      <c r="G23" s="38">
        <f>IF(Ranking!$C38="",0,N(Ranking!J38)*1000)</f>
        <v/>
      </c>
      <c r="H23" s="38">
        <f>IF(Ranking!$C38="",0,N(Ranking!K38)*1000)</f>
        <v/>
      </c>
      <c r="I23" s="38">
        <f>IF(Ranking!$C38="",0,N(Ranking!L38)*1000)</f>
        <v/>
      </c>
      <c r="J23" s="38">
        <f>IF(Ranking!$C38="",0,N(Ranking!M38)*1000)</f>
        <v/>
      </c>
      <c r="K23" s="38">
        <f>IF(Ranking!$C38="",0,N(Ranking!N38)*1000)</f>
        <v/>
      </c>
      <c r="L23" s="38">
        <f>IF(Ranking!$C38="",0,N(Ranking!O38)*1000)</f>
        <v/>
      </c>
      <c r="M23" s="38">
        <f>IF(Ranking!$C38="",0,N(Ranking!P38)*1000)</f>
        <v/>
      </c>
      <c r="N23" s="38">
        <f>IF(Ranking!$C38="",0,N(Ranking!Q38)*1000)</f>
        <v/>
      </c>
      <c r="O23" s="38">
        <f>IF(Ranking!$C38="",0,N(Ranking!R38)*1000)</f>
        <v/>
      </c>
      <c r="P23" s="38">
        <f>IF(Ranking!$C38="",0,N(Ranking!S38)*1000)</f>
        <v/>
      </c>
      <c r="Q23" s="38">
        <f>IF(Ranking!$C38="",0,N(Ranking!T38)*1000)</f>
        <v/>
      </c>
      <c r="R23" s="38">
        <f>IF(Ranking!$C38="",0,N(Ranking!U38)*1000)</f>
        <v/>
      </c>
      <c r="S23" s="38">
        <f>IF(Ranking!$C38="",0,N(Ranking!V38)*1000)</f>
        <v/>
      </c>
      <c r="T23" s="38">
        <f>IF(Ranking!$C38="",0,N(Ranking!W38)*1000)</f>
        <v/>
      </c>
      <c r="U23" s="38">
        <f>IF(Ranking!$C38="",0,N(Ranking!X38)*1000)</f>
        <v/>
      </c>
      <c r="V23" s="38">
        <f>IF(Ranking!$C38="",0,N(Ranking!Y38)*1000)</f>
        <v/>
      </c>
      <c r="W23" s="38">
        <f>IF(Ranking!$C38="",0,N(Ranking!Z38)*1000)</f>
        <v/>
      </c>
      <c r="X23" s="38">
        <f>IF(Ranking!$C38="",0,N(Ranking!AA38)*1000)</f>
        <v/>
      </c>
      <c r="Y23" s="38">
        <f>IF(Ranking!$C38="",0,N(Ranking!AB38)*1000)</f>
        <v/>
      </c>
      <c r="Z23" s="38">
        <f>IF(Ranking!$C38="",0,N(Ranking!AC38)*1000)</f>
        <v/>
      </c>
      <c r="AA23" s="38">
        <f>IF(Ranking!$C38="",0,N(Ranking!AD38)*1000)</f>
        <v/>
      </c>
      <c r="AB23" s="38">
        <f>IF(Ranking!$C38="",0,N(Ranking!AE38)*1000)</f>
        <v/>
      </c>
      <c r="AC23" s="38">
        <f>IF(Ranking!$C38="",0,N(Ranking!AF38)*1000)</f>
        <v/>
      </c>
      <c r="AD23" s="38">
        <f>IF(Ranking!$C38="",0,N(Ranking!AG38)*1000)</f>
        <v/>
      </c>
      <c r="AE23" s="38">
        <f>IF(Ranking!$C38="",0,N(Ranking!AH38)*1000)</f>
        <v/>
      </c>
      <c r="AF23" s="38">
        <f>IF(Ranking!$C38="",0,N(Ranking!AI38)*1000)</f>
        <v/>
      </c>
      <c r="AG23" s="38">
        <f>IF(Ranking!$C38="",0,N(Ranking!AJ38)*1000)</f>
        <v/>
      </c>
    </row>
    <row r="24">
      <c r="A24" s="37">
        <f>IF(Ranking!C39="","",Ranking!C39)</f>
        <v/>
      </c>
      <c r="B24" s="37">
        <f>IF(Ranking!C39="","",Ranking!F39)</f>
        <v/>
      </c>
      <c r="C24" s="38">
        <f>IF(Ranking!C39="",0,N(Ranking!D39)*1000)</f>
        <v/>
      </c>
      <c r="D24" s="38">
        <f>IF(Ranking!$C39="",0,N(Ranking!G39)*1000)</f>
        <v/>
      </c>
      <c r="E24" s="38">
        <f>IF(Ranking!$C39="",0,N(Ranking!H39)*1000)</f>
        <v/>
      </c>
      <c r="F24" s="38">
        <f>IF(Ranking!$C39="",0,N(Ranking!I39)*1000)</f>
        <v/>
      </c>
      <c r="G24" s="38">
        <f>IF(Ranking!$C39="",0,N(Ranking!J39)*1000)</f>
        <v/>
      </c>
      <c r="H24" s="38">
        <f>IF(Ranking!$C39="",0,N(Ranking!K39)*1000)</f>
        <v/>
      </c>
      <c r="I24" s="38">
        <f>IF(Ranking!$C39="",0,N(Ranking!L39)*1000)</f>
        <v/>
      </c>
      <c r="J24" s="38">
        <f>IF(Ranking!$C39="",0,N(Ranking!M39)*1000)</f>
        <v/>
      </c>
      <c r="K24" s="38">
        <f>IF(Ranking!$C39="",0,N(Ranking!N39)*1000)</f>
        <v/>
      </c>
      <c r="L24" s="38">
        <f>IF(Ranking!$C39="",0,N(Ranking!O39)*1000)</f>
        <v/>
      </c>
      <c r="M24" s="38">
        <f>IF(Ranking!$C39="",0,N(Ranking!P39)*1000)</f>
        <v/>
      </c>
      <c r="N24" s="38">
        <f>IF(Ranking!$C39="",0,N(Ranking!Q39)*1000)</f>
        <v/>
      </c>
      <c r="O24" s="38">
        <f>IF(Ranking!$C39="",0,N(Ranking!R39)*1000)</f>
        <v/>
      </c>
      <c r="P24" s="38">
        <f>IF(Ranking!$C39="",0,N(Ranking!S39)*1000)</f>
        <v/>
      </c>
      <c r="Q24" s="38">
        <f>IF(Ranking!$C39="",0,N(Ranking!T39)*1000)</f>
        <v/>
      </c>
      <c r="R24" s="38">
        <f>IF(Ranking!$C39="",0,N(Ranking!U39)*1000)</f>
        <v/>
      </c>
      <c r="S24" s="38">
        <f>IF(Ranking!$C39="",0,N(Ranking!V39)*1000)</f>
        <v/>
      </c>
      <c r="T24" s="38">
        <f>IF(Ranking!$C39="",0,N(Ranking!W39)*1000)</f>
        <v/>
      </c>
      <c r="U24" s="38">
        <f>IF(Ranking!$C39="",0,N(Ranking!X39)*1000)</f>
        <v/>
      </c>
      <c r="V24" s="38">
        <f>IF(Ranking!$C39="",0,N(Ranking!Y39)*1000)</f>
        <v/>
      </c>
      <c r="W24" s="38">
        <f>IF(Ranking!$C39="",0,N(Ranking!Z39)*1000)</f>
        <v/>
      </c>
      <c r="X24" s="38">
        <f>IF(Ranking!$C39="",0,N(Ranking!AA39)*1000)</f>
        <v/>
      </c>
      <c r="Y24" s="38">
        <f>IF(Ranking!$C39="",0,N(Ranking!AB39)*1000)</f>
        <v/>
      </c>
      <c r="Z24" s="38">
        <f>IF(Ranking!$C39="",0,N(Ranking!AC39)*1000)</f>
        <v/>
      </c>
      <c r="AA24" s="38">
        <f>IF(Ranking!$C39="",0,N(Ranking!AD39)*1000)</f>
        <v/>
      </c>
      <c r="AB24" s="38">
        <f>IF(Ranking!$C39="",0,N(Ranking!AE39)*1000)</f>
        <v/>
      </c>
      <c r="AC24" s="38">
        <f>IF(Ranking!$C39="",0,N(Ranking!AF39)*1000)</f>
        <v/>
      </c>
      <c r="AD24" s="38">
        <f>IF(Ranking!$C39="",0,N(Ranking!AG39)*1000)</f>
        <v/>
      </c>
      <c r="AE24" s="38">
        <f>IF(Ranking!$C39="",0,N(Ranking!AH39)*1000)</f>
        <v/>
      </c>
      <c r="AF24" s="38">
        <f>IF(Ranking!$C39="",0,N(Ranking!AI39)*1000)</f>
        <v/>
      </c>
      <c r="AG24" s="38">
        <f>IF(Ranking!$C39="",0,N(Ranking!AJ39)*1000)</f>
        <v/>
      </c>
    </row>
    <row r="25">
      <c r="A25" s="37">
        <f>IF(Ranking!C40="","",Ranking!C40)</f>
        <v/>
      </c>
      <c r="B25" s="37">
        <f>IF(Ranking!C40="","",Ranking!F40)</f>
        <v/>
      </c>
      <c r="C25" s="38">
        <f>IF(Ranking!C40="",0,N(Ranking!D40)*1000)</f>
        <v/>
      </c>
      <c r="D25" s="38">
        <f>IF(Ranking!$C40="",0,N(Ranking!G40)*1000)</f>
        <v/>
      </c>
      <c r="E25" s="38">
        <f>IF(Ranking!$C40="",0,N(Ranking!H40)*1000)</f>
        <v/>
      </c>
      <c r="F25" s="38">
        <f>IF(Ranking!$C40="",0,N(Ranking!I40)*1000)</f>
        <v/>
      </c>
      <c r="G25" s="38">
        <f>IF(Ranking!$C40="",0,N(Ranking!J40)*1000)</f>
        <v/>
      </c>
      <c r="H25" s="38">
        <f>IF(Ranking!$C40="",0,N(Ranking!K40)*1000)</f>
        <v/>
      </c>
      <c r="I25" s="38">
        <f>IF(Ranking!$C40="",0,N(Ranking!L40)*1000)</f>
        <v/>
      </c>
      <c r="J25" s="38">
        <f>IF(Ranking!$C40="",0,N(Ranking!M40)*1000)</f>
        <v/>
      </c>
      <c r="K25" s="38">
        <f>IF(Ranking!$C40="",0,N(Ranking!N40)*1000)</f>
        <v/>
      </c>
      <c r="L25" s="38">
        <f>IF(Ranking!$C40="",0,N(Ranking!O40)*1000)</f>
        <v/>
      </c>
      <c r="M25" s="38">
        <f>IF(Ranking!$C40="",0,N(Ranking!P40)*1000)</f>
        <v/>
      </c>
      <c r="N25" s="38">
        <f>IF(Ranking!$C40="",0,N(Ranking!Q40)*1000)</f>
        <v/>
      </c>
      <c r="O25" s="38">
        <f>IF(Ranking!$C40="",0,N(Ranking!R40)*1000)</f>
        <v/>
      </c>
      <c r="P25" s="38">
        <f>IF(Ranking!$C40="",0,N(Ranking!S40)*1000)</f>
        <v/>
      </c>
      <c r="Q25" s="38">
        <f>IF(Ranking!$C40="",0,N(Ranking!T40)*1000)</f>
        <v/>
      </c>
      <c r="R25" s="38">
        <f>IF(Ranking!$C40="",0,N(Ranking!U40)*1000)</f>
        <v/>
      </c>
      <c r="S25" s="38">
        <f>IF(Ranking!$C40="",0,N(Ranking!V40)*1000)</f>
        <v/>
      </c>
      <c r="T25" s="38">
        <f>IF(Ranking!$C40="",0,N(Ranking!W40)*1000)</f>
        <v/>
      </c>
      <c r="U25" s="38">
        <f>IF(Ranking!$C40="",0,N(Ranking!X40)*1000)</f>
        <v/>
      </c>
      <c r="V25" s="38">
        <f>IF(Ranking!$C40="",0,N(Ranking!Y40)*1000)</f>
        <v/>
      </c>
      <c r="W25" s="38">
        <f>IF(Ranking!$C40="",0,N(Ranking!Z40)*1000)</f>
        <v/>
      </c>
      <c r="X25" s="38">
        <f>IF(Ranking!$C40="",0,N(Ranking!AA40)*1000)</f>
        <v/>
      </c>
      <c r="Y25" s="38">
        <f>IF(Ranking!$C40="",0,N(Ranking!AB40)*1000)</f>
        <v/>
      </c>
      <c r="Z25" s="38">
        <f>IF(Ranking!$C40="",0,N(Ranking!AC40)*1000)</f>
        <v/>
      </c>
      <c r="AA25" s="38">
        <f>IF(Ranking!$C40="",0,N(Ranking!AD40)*1000)</f>
        <v/>
      </c>
      <c r="AB25" s="38">
        <f>IF(Ranking!$C40="",0,N(Ranking!AE40)*1000)</f>
        <v/>
      </c>
      <c r="AC25" s="38">
        <f>IF(Ranking!$C40="",0,N(Ranking!AF40)*1000)</f>
        <v/>
      </c>
      <c r="AD25" s="38">
        <f>IF(Ranking!$C40="",0,N(Ranking!AG40)*1000)</f>
        <v/>
      </c>
      <c r="AE25" s="38">
        <f>IF(Ranking!$C40="",0,N(Ranking!AH40)*1000)</f>
        <v/>
      </c>
      <c r="AF25" s="38">
        <f>IF(Ranking!$C40="",0,N(Ranking!AI40)*1000)</f>
        <v/>
      </c>
      <c r="AG25" s="38">
        <f>IF(Ranking!$C40="",0,N(Ranking!AJ40)*1000)</f>
        <v/>
      </c>
    </row>
    <row r="26">
      <c r="A26" s="37">
        <f>IF(Ranking!C41="","",Ranking!C41)</f>
        <v/>
      </c>
      <c r="B26" s="37">
        <f>IF(Ranking!C41="","",Ranking!F41)</f>
        <v/>
      </c>
      <c r="C26" s="38">
        <f>IF(Ranking!C41="",0,N(Ranking!D41)*1000)</f>
        <v/>
      </c>
      <c r="D26" s="38">
        <f>IF(Ranking!$C41="",0,N(Ranking!G41)*1000)</f>
        <v/>
      </c>
      <c r="E26" s="38">
        <f>IF(Ranking!$C41="",0,N(Ranking!H41)*1000)</f>
        <v/>
      </c>
      <c r="F26" s="38">
        <f>IF(Ranking!$C41="",0,N(Ranking!I41)*1000)</f>
        <v/>
      </c>
      <c r="G26" s="38">
        <f>IF(Ranking!$C41="",0,N(Ranking!J41)*1000)</f>
        <v/>
      </c>
      <c r="H26" s="38">
        <f>IF(Ranking!$C41="",0,N(Ranking!K41)*1000)</f>
        <v/>
      </c>
      <c r="I26" s="38">
        <f>IF(Ranking!$C41="",0,N(Ranking!L41)*1000)</f>
        <v/>
      </c>
      <c r="J26" s="38">
        <f>IF(Ranking!$C41="",0,N(Ranking!M41)*1000)</f>
        <v/>
      </c>
      <c r="K26" s="38">
        <f>IF(Ranking!$C41="",0,N(Ranking!N41)*1000)</f>
        <v/>
      </c>
      <c r="L26" s="38">
        <f>IF(Ranking!$C41="",0,N(Ranking!O41)*1000)</f>
        <v/>
      </c>
      <c r="M26" s="38">
        <f>IF(Ranking!$C41="",0,N(Ranking!P41)*1000)</f>
        <v/>
      </c>
      <c r="N26" s="38">
        <f>IF(Ranking!$C41="",0,N(Ranking!Q41)*1000)</f>
        <v/>
      </c>
      <c r="O26" s="38">
        <f>IF(Ranking!$C41="",0,N(Ranking!R41)*1000)</f>
        <v/>
      </c>
      <c r="P26" s="38">
        <f>IF(Ranking!$C41="",0,N(Ranking!S41)*1000)</f>
        <v/>
      </c>
      <c r="Q26" s="38">
        <f>IF(Ranking!$C41="",0,N(Ranking!T41)*1000)</f>
        <v/>
      </c>
      <c r="R26" s="38">
        <f>IF(Ranking!$C41="",0,N(Ranking!U41)*1000)</f>
        <v/>
      </c>
      <c r="S26" s="38">
        <f>IF(Ranking!$C41="",0,N(Ranking!V41)*1000)</f>
        <v/>
      </c>
      <c r="T26" s="38">
        <f>IF(Ranking!$C41="",0,N(Ranking!W41)*1000)</f>
        <v/>
      </c>
      <c r="U26" s="38">
        <f>IF(Ranking!$C41="",0,N(Ranking!X41)*1000)</f>
        <v/>
      </c>
      <c r="V26" s="38">
        <f>IF(Ranking!$C41="",0,N(Ranking!Y41)*1000)</f>
        <v/>
      </c>
      <c r="W26" s="38">
        <f>IF(Ranking!$C41="",0,N(Ranking!Z41)*1000)</f>
        <v/>
      </c>
      <c r="X26" s="38">
        <f>IF(Ranking!$C41="",0,N(Ranking!AA41)*1000)</f>
        <v/>
      </c>
      <c r="Y26" s="38">
        <f>IF(Ranking!$C41="",0,N(Ranking!AB41)*1000)</f>
        <v/>
      </c>
      <c r="Z26" s="38">
        <f>IF(Ranking!$C41="",0,N(Ranking!AC41)*1000)</f>
        <v/>
      </c>
      <c r="AA26" s="38">
        <f>IF(Ranking!$C41="",0,N(Ranking!AD41)*1000)</f>
        <v/>
      </c>
      <c r="AB26" s="38">
        <f>IF(Ranking!$C41="",0,N(Ranking!AE41)*1000)</f>
        <v/>
      </c>
      <c r="AC26" s="38">
        <f>IF(Ranking!$C41="",0,N(Ranking!AF41)*1000)</f>
        <v/>
      </c>
      <c r="AD26" s="38">
        <f>IF(Ranking!$C41="",0,N(Ranking!AG41)*1000)</f>
        <v/>
      </c>
      <c r="AE26" s="38">
        <f>IF(Ranking!$C41="",0,N(Ranking!AH41)*1000)</f>
        <v/>
      </c>
      <c r="AF26" s="38">
        <f>IF(Ranking!$C41="",0,N(Ranking!AI41)*1000)</f>
        <v/>
      </c>
      <c r="AG26" s="38">
        <f>IF(Ranking!$C41="",0,N(Ranking!AJ41)*1000)</f>
        <v/>
      </c>
    </row>
    <row r="27">
      <c r="A27" s="37">
        <f>IF(Ranking!C42="","",Ranking!C42)</f>
        <v/>
      </c>
      <c r="B27" s="37">
        <f>IF(Ranking!C42="","",Ranking!F42)</f>
        <v/>
      </c>
      <c r="C27" s="38">
        <f>IF(Ranking!C42="",0,N(Ranking!D42)*1000)</f>
        <v/>
      </c>
      <c r="D27" s="38">
        <f>IF(Ranking!$C42="",0,N(Ranking!G42)*1000)</f>
        <v/>
      </c>
      <c r="E27" s="38">
        <f>IF(Ranking!$C42="",0,N(Ranking!H42)*1000)</f>
        <v/>
      </c>
      <c r="F27" s="38">
        <f>IF(Ranking!$C42="",0,N(Ranking!I42)*1000)</f>
        <v/>
      </c>
      <c r="G27" s="38">
        <f>IF(Ranking!$C42="",0,N(Ranking!J42)*1000)</f>
        <v/>
      </c>
      <c r="H27" s="38">
        <f>IF(Ranking!$C42="",0,N(Ranking!K42)*1000)</f>
        <v/>
      </c>
      <c r="I27" s="38">
        <f>IF(Ranking!$C42="",0,N(Ranking!L42)*1000)</f>
        <v/>
      </c>
      <c r="J27" s="38">
        <f>IF(Ranking!$C42="",0,N(Ranking!M42)*1000)</f>
        <v/>
      </c>
      <c r="K27" s="38">
        <f>IF(Ranking!$C42="",0,N(Ranking!N42)*1000)</f>
        <v/>
      </c>
      <c r="L27" s="38">
        <f>IF(Ranking!$C42="",0,N(Ranking!O42)*1000)</f>
        <v/>
      </c>
      <c r="M27" s="38">
        <f>IF(Ranking!$C42="",0,N(Ranking!P42)*1000)</f>
        <v/>
      </c>
      <c r="N27" s="38">
        <f>IF(Ranking!$C42="",0,N(Ranking!Q42)*1000)</f>
        <v/>
      </c>
      <c r="O27" s="38">
        <f>IF(Ranking!$C42="",0,N(Ranking!R42)*1000)</f>
        <v/>
      </c>
      <c r="P27" s="38">
        <f>IF(Ranking!$C42="",0,N(Ranking!S42)*1000)</f>
        <v/>
      </c>
      <c r="Q27" s="38">
        <f>IF(Ranking!$C42="",0,N(Ranking!T42)*1000)</f>
        <v/>
      </c>
      <c r="R27" s="38">
        <f>IF(Ranking!$C42="",0,N(Ranking!U42)*1000)</f>
        <v/>
      </c>
      <c r="S27" s="38">
        <f>IF(Ranking!$C42="",0,N(Ranking!V42)*1000)</f>
        <v/>
      </c>
      <c r="T27" s="38">
        <f>IF(Ranking!$C42="",0,N(Ranking!W42)*1000)</f>
        <v/>
      </c>
      <c r="U27" s="38">
        <f>IF(Ranking!$C42="",0,N(Ranking!X42)*1000)</f>
        <v/>
      </c>
      <c r="V27" s="38">
        <f>IF(Ranking!$C42="",0,N(Ranking!Y42)*1000)</f>
        <v/>
      </c>
      <c r="W27" s="38">
        <f>IF(Ranking!$C42="",0,N(Ranking!Z42)*1000)</f>
        <v/>
      </c>
      <c r="X27" s="38">
        <f>IF(Ranking!$C42="",0,N(Ranking!AA42)*1000)</f>
        <v/>
      </c>
      <c r="Y27" s="38">
        <f>IF(Ranking!$C42="",0,N(Ranking!AB42)*1000)</f>
        <v/>
      </c>
      <c r="Z27" s="38">
        <f>IF(Ranking!$C42="",0,N(Ranking!AC42)*1000)</f>
        <v/>
      </c>
      <c r="AA27" s="38">
        <f>IF(Ranking!$C42="",0,N(Ranking!AD42)*1000)</f>
        <v/>
      </c>
      <c r="AB27" s="38">
        <f>IF(Ranking!$C42="",0,N(Ranking!AE42)*1000)</f>
        <v/>
      </c>
      <c r="AC27" s="38">
        <f>IF(Ranking!$C42="",0,N(Ranking!AF42)*1000)</f>
        <v/>
      </c>
      <c r="AD27" s="38">
        <f>IF(Ranking!$C42="",0,N(Ranking!AG42)*1000)</f>
        <v/>
      </c>
      <c r="AE27" s="38">
        <f>IF(Ranking!$C42="",0,N(Ranking!AH42)*1000)</f>
        <v/>
      </c>
      <c r="AF27" s="38">
        <f>IF(Ranking!$C42="",0,N(Ranking!AI42)*1000)</f>
        <v/>
      </c>
      <c r="AG27" s="38">
        <f>IF(Ranking!$C42="",0,N(Ranking!AJ42)*1000)</f>
        <v/>
      </c>
    </row>
    <row r="28">
      <c r="A28" s="37">
        <f>IF(Ranking!C43="","",Ranking!C43)</f>
        <v/>
      </c>
      <c r="B28" s="37">
        <f>IF(Ranking!C43="","",Ranking!F43)</f>
        <v/>
      </c>
      <c r="C28" s="38">
        <f>IF(Ranking!C43="",0,N(Ranking!D43)*1000)</f>
        <v/>
      </c>
      <c r="D28" s="38">
        <f>IF(Ranking!$C43="",0,N(Ranking!G43)*1000)</f>
        <v/>
      </c>
      <c r="E28" s="38">
        <f>IF(Ranking!$C43="",0,N(Ranking!H43)*1000)</f>
        <v/>
      </c>
      <c r="F28" s="38">
        <f>IF(Ranking!$C43="",0,N(Ranking!I43)*1000)</f>
        <v/>
      </c>
      <c r="G28" s="38">
        <f>IF(Ranking!$C43="",0,N(Ranking!J43)*1000)</f>
        <v/>
      </c>
      <c r="H28" s="38">
        <f>IF(Ranking!$C43="",0,N(Ranking!K43)*1000)</f>
        <v/>
      </c>
      <c r="I28" s="38">
        <f>IF(Ranking!$C43="",0,N(Ranking!L43)*1000)</f>
        <v/>
      </c>
      <c r="J28" s="38">
        <f>IF(Ranking!$C43="",0,N(Ranking!M43)*1000)</f>
        <v/>
      </c>
      <c r="K28" s="38">
        <f>IF(Ranking!$C43="",0,N(Ranking!N43)*1000)</f>
        <v/>
      </c>
      <c r="L28" s="38">
        <f>IF(Ranking!$C43="",0,N(Ranking!O43)*1000)</f>
        <v/>
      </c>
      <c r="M28" s="38">
        <f>IF(Ranking!$C43="",0,N(Ranking!P43)*1000)</f>
        <v/>
      </c>
      <c r="N28" s="38">
        <f>IF(Ranking!$C43="",0,N(Ranking!Q43)*1000)</f>
        <v/>
      </c>
      <c r="O28" s="38">
        <f>IF(Ranking!$C43="",0,N(Ranking!R43)*1000)</f>
        <v/>
      </c>
      <c r="P28" s="38">
        <f>IF(Ranking!$C43="",0,N(Ranking!S43)*1000)</f>
        <v/>
      </c>
      <c r="Q28" s="38">
        <f>IF(Ranking!$C43="",0,N(Ranking!T43)*1000)</f>
        <v/>
      </c>
      <c r="R28" s="38">
        <f>IF(Ranking!$C43="",0,N(Ranking!U43)*1000)</f>
        <v/>
      </c>
      <c r="S28" s="38">
        <f>IF(Ranking!$C43="",0,N(Ranking!V43)*1000)</f>
        <v/>
      </c>
      <c r="T28" s="38">
        <f>IF(Ranking!$C43="",0,N(Ranking!W43)*1000)</f>
        <v/>
      </c>
      <c r="U28" s="38">
        <f>IF(Ranking!$C43="",0,N(Ranking!X43)*1000)</f>
        <v/>
      </c>
      <c r="V28" s="38">
        <f>IF(Ranking!$C43="",0,N(Ranking!Y43)*1000)</f>
        <v/>
      </c>
      <c r="W28" s="38">
        <f>IF(Ranking!$C43="",0,N(Ranking!Z43)*1000)</f>
        <v/>
      </c>
      <c r="X28" s="38">
        <f>IF(Ranking!$C43="",0,N(Ranking!AA43)*1000)</f>
        <v/>
      </c>
      <c r="Y28" s="38">
        <f>IF(Ranking!$C43="",0,N(Ranking!AB43)*1000)</f>
        <v/>
      </c>
      <c r="Z28" s="38">
        <f>IF(Ranking!$C43="",0,N(Ranking!AC43)*1000)</f>
        <v/>
      </c>
      <c r="AA28" s="38">
        <f>IF(Ranking!$C43="",0,N(Ranking!AD43)*1000)</f>
        <v/>
      </c>
      <c r="AB28" s="38">
        <f>IF(Ranking!$C43="",0,N(Ranking!AE43)*1000)</f>
        <v/>
      </c>
      <c r="AC28" s="38">
        <f>IF(Ranking!$C43="",0,N(Ranking!AF43)*1000)</f>
        <v/>
      </c>
      <c r="AD28" s="38">
        <f>IF(Ranking!$C43="",0,N(Ranking!AG43)*1000)</f>
        <v/>
      </c>
      <c r="AE28" s="38">
        <f>IF(Ranking!$C43="",0,N(Ranking!AH43)*1000)</f>
        <v/>
      </c>
      <c r="AF28" s="38">
        <f>IF(Ranking!$C43="",0,N(Ranking!AI43)*1000)</f>
        <v/>
      </c>
      <c r="AG28" s="38">
        <f>IF(Ranking!$C43="",0,N(Ranking!AJ43)*1000)</f>
        <v/>
      </c>
    </row>
    <row r="29">
      <c r="A29" s="37">
        <f>IF(Ranking!C44="","",Ranking!C44)</f>
        <v/>
      </c>
      <c r="B29" s="37">
        <f>IF(Ranking!C44="","",Ranking!F44)</f>
        <v/>
      </c>
      <c r="C29" s="38">
        <f>IF(Ranking!C44="",0,N(Ranking!D44)*1000)</f>
        <v/>
      </c>
      <c r="D29" s="38">
        <f>IF(Ranking!$C44="",0,N(Ranking!G44)*1000)</f>
        <v/>
      </c>
      <c r="E29" s="38">
        <f>IF(Ranking!$C44="",0,N(Ranking!H44)*1000)</f>
        <v/>
      </c>
      <c r="F29" s="38">
        <f>IF(Ranking!$C44="",0,N(Ranking!I44)*1000)</f>
        <v/>
      </c>
      <c r="G29" s="38">
        <f>IF(Ranking!$C44="",0,N(Ranking!J44)*1000)</f>
        <v/>
      </c>
      <c r="H29" s="38">
        <f>IF(Ranking!$C44="",0,N(Ranking!K44)*1000)</f>
        <v/>
      </c>
      <c r="I29" s="38">
        <f>IF(Ranking!$C44="",0,N(Ranking!L44)*1000)</f>
        <v/>
      </c>
      <c r="J29" s="38">
        <f>IF(Ranking!$C44="",0,N(Ranking!M44)*1000)</f>
        <v/>
      </c>
      <c r="K29" s="38">
        <f>IF(Ranking!$C44="",0,N(Ranking!N44)*1000)</f>
        <v/>
      </c>
      <c r="L29" s="38">
        <f>IF(Ranking!$C44="",0,N(Ranking!O44)*1000)</f>
        <v/>
      </c>
      <c r="M29" s="38">
        <f>IF(Ranking!$C44="",0,N(Ranking!P44)*1000)</f>
        <v/>
      </c>
      <c r="N29" s="38">
        <f>IF(Ranking!$C44="",0,N(Ranking!Q44)*1000)</f>
        <v/>
      </c>
      <c r="O29" s="38">
        <f>IF(Ranking!$C44="",0,N(Ranking!R44)*1000)</f>
        <v/>
      </c>
      <c r="P29" s="38">
        <f>IF(Ranking!$C44="",0,N(Ranking!S44)*1000)</f>
        <v/>
      </c>
      <c r="Q29" s="38">
        <f>IF(Ranking!$C44="",0,N(Ranking!T44)*1000)</f>
        <v/>
      </c>
      <c r="R29" s="38">
        <f>IF(Ranking!$C44="",0,N(Ranking!U44)*1000)</f>
        <v/>
      </c>
      <c r="S29" s="38">
        <f>IF(Ranking!$C44="",0,N(Ranking!V44)*1000)</f>
        <v/>
      </c>
      <c r="T29" s="38">
        <f>IF(Ranking!$C44="",0,N(Ranking!W44)*1000)</f>
        <v/>
      </c>
      <c r="U29" s="38">
        <f>IF(Ranking!$C44="",0,N(Ranking!X44)*1000)</f>
        <v/>
      </c>
      <c r="V29" s="38">
        <f>IF(Ranking!$C44="",0,N(Ranking!Y44)*1000)</f>
        <v/>
      </c>
      <c r="W29" s="38">
        <f>IF(Ranking!$C44="",0,N(Ranking!Z44)*1000)</f>
        <v/>
      </c>
      <c r="X29" s="38">
        <f>IF(Ranking!$C44="",0,N(Ranking!AA44)*1000)</f>
        <v/>
      </c>
      <c r="Y29" s="38">
        <f>IF(Ranking!$C44="",0,N(Ranking!AB44)*1000)</f>
        <v/>
      </c>
      <c r="Z29" s="38">
        <f>IF(Ranking!$C44="",0,N(Ranking!AC44)*1000)</f>
        <v/>
      </c>
      <c r="AA29" s="38">
        <f>IF(Ranking!$C44="",0,N(Ranking!AD44)*1000)</f>
        <v/>
      </c>
      <c r="AB29" s="38">
        <f>IF(Ranking!$C44="",0,N(Ranking!AE44)*1000)</f>
        <v/>
      </c>
      <c r="AC29" s="38">
        <f>IF(Ranking!$C44="",0,N(Ranking!AF44)*1000)</f>
        <v/>
      </c>
      <c r="AD29" s="38">
        <f>IF(Ranking!$C44="",0,N(Ranking!AG44)*1000)</f>
        <v/>
      </c>
      <c r="AE29" s="38">
        <f>IF(Ranking!$C44="",0,N(Ranking!AH44)*1000)</f>
        <v/>
      </c>
      <c r="AF29" s="38">
        <f>IF(Ranking!$C44="",0,N(Ranking!AI44)*1000)</f>
        <v/>
      </c>
      <c r="AG29" s="38">
        <f>IF(Ranking!$C44="",0,N(Ranking!AJ44)*1000)</f>
        <v/>
      </c>
    </row>
    <row r="30">
      <c r="A30" s="37">
        <f>IF(Ranking!C45="","",Ranking!C45)</f>
        <v/>
      </c>
      <c r="B30" s="37">
        <f>IF(Ranking!C45="","",Ranking!F45)</f>
        <v/>
      </c>
      <c r="C30" s="38">
        <f>IF(Ranking!C45="",0,N(Ranking!D45)*1000)</f>
        <v/>
      </c>
      <c r="D30" s="38">
        <f>IF(Ranking!$C45="",0,N(Ranking!G45)*1000)</f>
        <v/>
      </c>
      <c r="E30" s="38">
        <f>IF(Ranking!$C45="",0,N(Ranking!H45)*1000)</f>
        <v/>
      </c>
      <c r="F30" s="38">
        <f>IF(Ranking!$C45="",0,N(Ranking!I45)*1000)</f>
        <v/>
      </c>
      <c r="G30" s="38">
        <f>IF(Ranking!$C45="",0,N(Ranking!J45)*1000)</f>
        <v/>
      </c>
      <c r="H30" s="38">
        <f>IF(Ranking!$C45="",0,N(Ranking!K45)*1000)</f>
        <v/>
      </c>
      <c r="I30" s="38">
        <f>IF(Ranking!$C45="",0,N(Ranking!L45)*1000)</f>
        <v/>
      </c>
      <c r="J30" s="38">
        <f>IF(Ranking!$C45="",0,N(Ranking!M45)*1000)</f>
        <v/>
      </c>
      <c r="K30" s="38">
        <f>IF(Ranking!$C45="",0,N(Ranking!N45)*1000)</f>
        <v/>
      </c>
      <c r="L30" s="38">
        <f>IF(Ranking!$C45="",0,N(Ranking!O45)*1000)</f>
        <v/>
      </c>
      <c r="M30" s="38">
        <f>IF(Ranking!$C45="",0,N(Ranking!P45)*1000)</f>
        <v/>
      </c>
      <c r="N30" s="38">
        <f>IF(Ranking!$C45="",0,N(Ranking!Q45)*1000)</f>
        <v/>
      </c>
      <c r="O30" s="38">
        <f>IF(Ranking!$C45="",0,N(Ranking!R45)*1000)</f>
        <v/>
      </c>
      <c r="P30" s="38">
        <f>IF(Ranking!$C45="",0,N(Ranking!S45)*1000)</f>
        <v/>
      </c>
      <c r="Q30" s="38">
        <f>IF(Ranking!$C45="",0,N(Ranking!T45)*1000)</f>
        <v/>
      </c>
      <c r="R30" s="38">
        <f>IF(Ranking!$C45="",0,N(Ranking!U45)*1000)</f>
        <v/>
      </c>
      <c r="S30" s="38">
        <f>IF(Ranking!$C45="",0,N(Ranking!V45)*1000)</f>
        <v/>
      </c>
      <c r="T30" s="38">
        <f>IF(Ranking!$C45="",0,N(Ranking!W45)*1000)</f>
        <v/>
      </c>
      <c r="U30" s="38">
        <f>IF(Ranking!$C45="",0,N(Ranking!X45)*1000)</f>
        <v/>
      </c>
      <c r="V30" s="38">
        <f>IF(Ranking!$C45="",0,N(Ranking!Y45)*1000)</f>
        <v/>
      </c>
      <c r="W30" s="38">
        <f>IF(Ranking!$C45="",0,N(Ranking!Z45)*1000)</f>
        <v/>
      </c>
      <c r="X30" s="38">
        <f>IF(Ranking!$C45="",0,N(Ranking!AA45)*1000)</f>
        <v/>
      </c>
      <c r="Y30" s="38">
        <f>IF(Ranking!$C45="",0,N(Ranking!AB45)*1000)</f>
        <v/>
      </c>
      <c r="Z30" s="38">
        <f>IF(Ranking!$C45="",0,N(Ranking!AC45)*1000)</f>
        <v/>
      </c>
      <c r="AA30" s="38">
        <f>IF(Ranking!$C45="",0,N(Ranking!AD45)*1000)</f>
        <v/>
      </c>
      <c r="AB30" s="38">
        <f>IF(Ranking!$C45="",0,N(Ranking!AE45)*1000)</f>
        <v/>
      </c>
      <c r="AC30" s="38">
        <f>IF(Ranking!$C45="",0,N(Ranking!AF45)*1000)</f>
        <v/>
      </c>
      <c r="AD30" s="38">
        <f>IF(Ranking!$C45="",0,N(Ranking!AG45)*1000)</f>
        <v/>
      </c>
      <c r="AE30" s="38">
        <f>IF(Ranking!$C45="",0,N(Ranking!AH45)*1000)</f>
        <v/>
      </c>
      <c r="AF30" s="38">
        <f>IF(Ranking!$C45="",0,N(Ranking!AI45)*1000)</f>
        <v/>
      </c>
      <c r="AG30" s="38">
        <f>IF(Ranking!$C45="",0,N(Ranking!AJ45)*1000)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2026-10-15T18:04:04Z</dcterms:created>
  <dcterms:modified xmlns:dcterms="http://purl.org/dc/terms/" xmlns:xsi="http://www.w3.org/2001/XMLSchema-instance" xsi:type="dcterms:W3CDTF">2026-10-15T18:04:04Z</dcterms:modified>
</cp:coreProperties>
</file>